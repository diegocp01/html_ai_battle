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Sheet1!$A$1:$AV$69</definedName>
  </definedNames>
  <calcPr/>
  <extLst>
    <ext uri="GoogleSheetsCustomDataVersion2">
      <go:sheetsCustomData xmlns:go="http://customooxmlschemas.google.com/" r:id="rId5" roundtripDataChecksum="N9xOsm10RCq9MFTVUJwCnxAJXr0UKrLhIxhwdcT6v3U="/>
    </ext>
  </extLst>
</workbook>
</file>

<file path=xl/sharedStrings.xml><?xml version="1.0" encoding="utf-8"?>
<sst xmlns="http://schemas.openxmlformats.org/spreadsheetml/2006/main" count="1031" uniqueCount="156">
  <si>
    <t>Experiment ID</t>
  </si>
  <si>
    <t>LLM Model</t>
  </si>
  <si>
    <t>Prompt</t>
  </si>
  <si>
    <t>Experiment Type</t>
  </si>
  <si>
    <t>Visual type</t>
  </si>
  <si>
    <t>LLM Reasoning Time (s)</t>
  </si>
  <si>
    <t>LLM Response Time (s)</t>
  </si>
  <si>
    <t>Date Generated</t>
  </si>
  <si>
    <t>Time ET of the Generation</t>
  </si>
  <si>
    <t>Reasoning Total words</t>
  </si>
  <si>
    <t>Reasoning Total characters</t>
  </si>
  <si>
    <t>Reasoning Total sentences</t>
  </si>
  <si>
    <t>Reasoning top keyword</t>
  </si>
  <si>
    <t>Reasoning top keyword repetitions</t>
  </si>
  <si>
    <t>Input Word Count</t>
  </si>
  <si>
    <t>Lines of HTML</t>
  </si>
  <si>
    <t>Model Family</t>
  </si>
  <si>
    <t>Platform</t>
  </si>
  <si>
    <t>Code in Reasoning?</t>
  </si>
  <si>
    <t>prompt_adherence_score (0-10)</t>
  </si>
  <si>
    <t>gemini_pa (0-10)</t>
  </si>
  <si>
    <t>functional_correctness_score (0-10)</t>
  </si>
  <si>
    <t>gemini_fc (0-10)</t>
  </si>
  <si>
    <t>ui_score (0-10)</t>
  </si>
  <si>
    <t>gemini_ui (0-10)</t>
  </si>
  <si>
    <t>Performance Score (0-10)</t>
  </si>
  <si>
    <t>gemini perf (0-10)</t>
  </si>
  <si>
    <t>Male / Female Song's Voice</t>
  </si>
  <si>
    <t>Song Key</t>
  </si>
  <si>
    <t>Song BPM</t>
  </si>
  <si>
    <t>Song style</t>
  </si>
  <si>
    <t>Lyrics number of words</t>
  </si>
  <si>
    <t>LLM used for song</t>
  </si>
  <si>
    <t>Suno version</t>
  </si>
  <si>
    <t>Date posted</t>
  </si>
  <si>
    <t>Day of the week posted</t>
  </si>
  <si>
    <t>Time ET posted on X</t>
  </si>
  <si>
    <t>X Followers posted</t>
  </si>
  <si>
    <t>Tik Tok Followers posted</t>
  </si>
  <si>
    <t>Youtube Followers posted</t>
  </si>
  <si>
    <t>Video Duration (s)</t>
  </si>
  <si>
    <t>X Impressions (24 h)</t>
  </si>
  <si>
    <t>X Likes (24h)</t>
  </si>
  <si>
    <t>X Shares (24h)</t>
  </si>
  <si>
    <t>Tik Tok Views (24 h)</t>
  </si>
  <si>
    <t>Tik Tok Likes (24h)</t>
  </si>
  <si>
    <t>Youtube short views (24 h)</t>
  </si>
  <si>
    <t>Youtube short Likes (24h)</t>
  </si>
  <si>
    <t>flappy_bird_1210</t>
  </si>
  <si>
    <t>gpt-5.1-extended-thinking</t>
  </si>
  <si>
    <t>Make a game like flappy bird using HTML/CSS/JS in a single HTML file</t>
  </si>
  <si>
    <t>game</t>
  </si>
  <si>
    <t>simple</t>
  </si>
  <si>
    <t>Game</t>
  </si>
  <si>
    <t>GPT</t>
  </si>
  <si>
    <t>Web UI</t>
  </si>
  <si>
    <t>n</t>
  </si>
  <si>
    <t>m</t>
  </si>
  <si>
    <t>G Major</t>
  </si>
  <si>
    <t>hip hop, pop</t>
  </si>
  <si>
    <t>gemini-3-pro</t>
  </si>
  <si>
    <t>4.5-all</t>
  </si>
  <si>
    <t>Wednesday</t>
  </si>
  <si>
    <t>I'm</t>
  </si>
  <si>
    <t>Gemini</t>
  </si>
  <si>
    <t>grok-4.1-thinking</t>
  </si>
  <si>
    <t>Grok</t>
  </si>
  <si>
    <t>opus-4.5-thinking-32k</t>
  </si>
  <si>
    <t>Pipes</t>
  </si>
  <si>
    <t>Opus</t>
  </si>
  <si>
    <t>LMArena</t>
  </si>
  <si>
    <t>y</t>
  </si>
  <si>
    <t>drifting_car_1213</t>
  </si>
  <si>
    <t>gpt-5.2-extended-thinking</t>
  </si>
  <si>
    <t xml:space="preserve">Create a 3D simulation of a formula 1 car performing a continuous drifting donut in the street using HTML/CSS/JS in a single HTML file. </t>
  </si>
  <si>
    <t>simulation</t>
  </si>
  <si>
    <t>Will</t>
  </si>
  <si>
    <t>f</t>
  </si>
  <si>
    <t>G minor</t>
  </si>
  <si>
    <t>Saturday</t>
  </si>
  <si>
    <t>Request</t>
  </si>
  <si>
    <t>Const</t>
  </si>
  <si>
    <t>blooming_flower_1217</t>
  </si>
  <si>
    <t>Create an animation of a single flower blooming in a pot. Using HTML/CSS/JS in a single HTML file.</t>
  </si>
  <si>
    <t>Css</t>
  </si>
  <si>
    <t>A major</t>
  </si>
  <si>
    <t>Animation</t>
  </si>
  <si>
    <t>dvd_logo_1220</t>
  </si>
  <si>
    <t>Create a physics-accurate “Bouncing DVD Logo” simulation using HTML/CSS/JS in a single HTML file. The logo must bounce perfectly off all edges and corners, change color on every collision, and adapt correctly to dynamic window resizing.</t>
  </si>
  <si>
    <t>Logo</t>
  </si>
  <si>
    <t>Canvas</t>
  </si>
  <si>
    <t>super_mario_1224</t>
  </si>
  <si>
    <t>Make a side-scrolling platformer game like Super Mario Bros. using HTML/CSS/JS in a single HTML file.</t>
  </si>
  <si>
    <t>complex</t>
  </si>
  <si>
    <t>Platformer</t>
  </si>
  <si>
    <t>E♭ major</t>
  </si>
  <si>
    <t>Html</t>
  </si>
  <si>
    <t>spaceship_1227</t>
  </si>
  <si>
    <t>Create a rocket launch animation starting with engine ignition and heavy smoke, followed by a slow liftoff that accelerates, using HTML/CSS/JS in a single HTML file.</t>
  </si>
  <si>
    <t>rocket</t>
  </si>
  <si>
    <t>B♭ major</t>
  </si>
  <si>
    <t>i'm</t>
  </si>
  <si>
    <t>smoke</t>
  </si>
  <si>
    <t>new_years_1231</t>
  </si>
  <si>
    <t>Create an interactive New Year's Eve fireworks display using HTML/CSS/JS in a single HTML file. When the user clicks, a rocket should launch and explode into colorful particles with gravity and drag physics. Include a 'Grand Finale' button that automatically launches a barrage of fireworks that form the glowing text 'HELLO 2026' in the sky.</t>
  </si>
  <si>
    <t>particles</t>
  </si>
  <si>
    <t>D minor</t>
  </si>
  <si>
    <t>explosion</t>
  </si>
  <si>
    <t>thisy</t>
  </si>
  <si>
    <t>dog_fetch_0103</t>
  </si>
  <si>
    <t>Animate a dog fetching a ball. Using HTML/CSS/JS in a single HTML file.</t>
  </si>
  <si>
    <t>animation</t>
  </si>
  <si>
    <t>B minor</t>
  </si>
  <si>
    <t>dog</t>
  </si>
  <si>
    <t>ball</t>
  </si>
  <si>
    <t>gravity_cloth_0107</t>
  </si>
  <si>
    <t>Create an interactive 'Tearable Cloth' simulation using HTML/CSS/JS in a single file. Render a grid of points connected by constraints (springs) that react to gravity. Allow the user to drag the cloth with their mouse and right-click (or hold Shift) to slice/cut the connections.</t>
  </si>
  <si>
    <t>code</t>
  </si>
  <si>
    <t>C major</t>
  </si>
  <si>
    <t>points</t>
  </si>
  <si>
    <t>const</t>
  </si>
  <si>
    <t>pirate_ship_0110</t>
  </si>
  <si>
    <t>Create a simulation of a pirate ship sailing through open ocean. Using HTML/CSS/JS in a single HTML file.</t>
  </si>
  <si>
    <t>wave</t>
  </si>
  <si>
    <t>ship</t>
  </si>
  <si>
    <t>backflip_1014</t>
  </si>
  <si>
    <t>Create a slow-motion simulation of a stick-figure human performing a standing backflip using HTML/CSS/JS. The figure needs articulated joints (knees, hips, elbows). It should crouch, jump, tuck tight to spin faster (conservation of angular momentum), and then extend legs to stick the landing.</t>
  </si>
  <si>
    <t>i’ll</t>
  </si>
  <si>
    <t>D♯ minor</t>
  </si>
  <si>
    <t>Trap, Southern hip-hop, Atlanta rap, Melodic rap, Gangsta rap, Modern hip-hop, Street rap, Drill-influenced rap, Bass-heavy rap, Minimalist trap</t>
  </si>
  <si>
    <t>tuck</t>
  </si>
  <si>
    <t>torso</t>
  </si>
  <si>
    <t>airplane_0117</t>
  </si>
  <si>
    <t>Create a 3D simulation of an airplane landing using HTML/CSS/JS.</t>
  </si>
  <si>
    <t>threejs</t>
  </si>
  <si>
    <t>airplane</t>
  </si>
  <si>
    <t>landing</t>
  </si>
  <si>
    <t>snake_0121</t>
  </si>
  <si>
    <t>Create a classic "Snake" game using HTML, CSS, and JavaScript, all within a single HTML file. The player controls a snake that grows longer when it eats food. The game ends if the snake collides with the walls or its own tail. Prioritize a rich, visually detailed UI, avoid simplistic visuals. Instead, aim for a realistic, pseudo-3D aesthetic for the snake, food, and background, using advanced visual effects, shadows, gradients, and animations to simulate depth and texture. Dont do simple black backgrounds or neon stuff, I want this too look like a CGI movie, the snake should looks like a real 3d depth snake, the food should look realistic. IMPORTANT: dont do a simple visual game, the realistic visuals are the main focus.</t>
  </si>
  <si>
    <t>i'll</t>
  </si>
  <si>
    <t>E minor</t>
  </si>
  <si>
    <t>snake</t>
  </si>
  <si>
    <t>realistic</t>
  </si>
  <si>
    <t>dna_0124</t>
  </si>
  <si>
    <t xml:space="preserve">Create a rotating 3D animation of a Double Helix Human DNA strand using HTML/CSS/JS in a single HTML file. </t>
  </si>
  <si>
    <t>helix</t>
  </si>
  <si>
    <t>spongebob_0128</t>
  </si>
  <si>
    <t>Create an animation of SpongeBob and his home behind him, under the water using HTML/CSS/JS in a single HTML file.</t>
  </si>
  <si>
    <t>spongebob</t>
  </si>
  <si>
    <t>pineapple</t>
  </si>
  <si>
    <t>blue</t>
  </si>
  <si>
    <t>basketball_0131</t>
  </si>
  <si>
    <t>Create a simulation of a basketball free-throw shot using HTML/CSS/JS in a single HTML file. When the user clicks, the ball should launch with a realistic parabolic arc, hit the backboard, and swish through the net.</t>
  </si>
  <si>
    <t>rim</t>
  </si>
  <si>
    <t>paper_airplane_0204</t>
  </si>
  <si>
    <t>Create a simulation of a paper airplane gliding through the air using HTML/CSS/JS in a single HTML file.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</si>
</sst>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h:mm:ss am/pm"/>
    <numFmt numFmtId="166" formatCode="#,##0.0"/>
    <numFmt numFmtId="167" formatCode="m/d/yyyy"/>
    <numFmt numFmtId="168" formatCode="h:mm am/pm"/>
  </numFmts>
  <fonts count="6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sz val="10.0"/>
      <color rgb="FF111827"/>
      <name val="Roboto"/>
    </font>
    <font>
      <color rgb="FF334155"/>
      <name val="Roboto"/>
    </font>
    <font>
      <sz val="10.0"/>
      <color rgb="FF334155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535FC1"/>
        <bgColor rgb="FF535FC1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3" xfId="0" applyAlignment="1" applyBorder="1" applyFont="1" applyNumberFormat="1">
      <alignment horizontal="center" shrinkToFit="0" vertical="center" wrapText="1"/>
    </xf>
    <xf borderId="1" fillId="3" fontId="1" numFmtId="164" xfId="0" applyAlignment="1" applyBorder="1" applyFont="1" applyNumberFormat="1">
      <alignment horizontal="center" shrinkToFit="0" vertical="center" wrapText="1"/>
    </xf>
    <xf borderId="1" fillId="3" fontId="1" numFmtId="165" xfId="0" applyAlignment="1" applyBorder="1" applyFont="1" applyNumberFormat="1">
      <alignment horizontal="center" shrinkToFit="0" vertical="center" wrapText="1"/>
    </xf>
    <xf borderId="1" fillId="3" fontId="1" numFmtId="166" xfId="0" applyAlignment="1" applyBorder="1" applyFont="1" applyNumberFormat="1">
      <alignment horizontal="center" shrinkToFit="0" vertical="center" wrapText="1"/>
    </xf>
    <xf borderId="1" fillId="3" fontId="1" numFmtId="4" xfId="0" applyAlignment="1" applyBorder="1" applyFont="1" applyNumberForma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4" fontId="1" numFmtId="3" xfId="0" applyAlignment="1" applyBorder="1" applyFont="1" applyNumberFormat="1">
      <alignment horizontal="center" shrinkToFit="0" vertical="center" wrapText="1"/>
    </xf>
    <xf borderId="1" fillId="4" fontId="1" numFmtId="164" xfId="0" applyAlignment="1" applyBorder="1" applyFont="1" applyNumberFormat="1">
      <alignment horizontal="center" shrinkToFit="0" vertical="center" wrapText="1"/>
    </xf>
    <xf borderId="1" fillId="4" fontId="1" numFmtId="165" xfId="0" applyAlignment="1" applyBorder="1" applyFont="1" applyNumberFormat="1">
      <alignment horizontal="center" shrinkToFit="0" vertical="center" wrapText="1"/>
    </xf>
    <xf borderId="1" fillId="4" fontId="1" numFmtId="166" xfId="0" applyAlignment="1" applyBorder="1" applyFont="1" applyNumberFormat="1">
      <alignment horizontal="center" shrinkToFit="0" vertical="center" wrapText="1"/>
    </xf>
    <xf borderId="1" fillId="4" fontId="1" numFmtId="4" xfId="0" applyAlignment="1" applyBorder="1" applyFont="1" applyNumberFormat="1">
      <alignment horizontal="center" shrinkToFit="0" vertical="center" wrapText="1"/>
    </xf>
    <xf borderId="1" fillId="3" fontId="1" numFmtId="3" xfId="0" applyAlignment="1" applyBorder="1" applyFont="1" applyNumberFormat="1">
      <alignment horizontal="center" shrinkToFit="0" vertical="center" wrapText="0"/>
    </xf>
    <xf borderId="1" fillId="3" fontId="1" numFmtId="165" xfId="0" applyAlignment="1" applyBorder="1" applyFont="1" applyNumberFormat="1">
      <alignment horizontal="center" shrinkToFit="0" vertical="center" wrapText="0"/>
    </xf>
    <xf borderId="1" fillId="3" fontId="1" numFmtId="0" xfId="0" applyAlignment="1" applyBorder="1" applyFont="1">
      <alignment horizontal="center" shrinkToFit="0" vertical="center" wrapText="0"/>
    </xf>
    <xf borderId="1" fillId="3" fontId="1" numFmtId="166" xfId="0" applyAlignment="1" applyBorder="1" applyFont="1" applyNumberFormat="1">
      <alignment horizontal="center" shrinkToFit="0" vertical="center" wrapText="0"/>
    </xf>
    <xf borderId="1" fillId="4" fontId="1" numFmtId="3" xfId="0" applyAlignment="1" applyBorder="1" applyFont="1" applyNumberFormat="1">
      <alignment horizontal="center" shrinkToFit="0" vertical="center" wrapText="0"/>
    </xf>
    <xf borderId="1" fillId="4" fontId="1" numFmtId="165" xfId="0" applyAlignment="1" applyBorder="1" applyFont="1" applyNumberFormat="1">
      <alignment horizontal="center" shrinkToFit="0" vertical="center" wrapText="0"/>
    </xf>
    <xf borderId="1" fillId="4" fontId="1" numFmtId="0" xfId="0" applyAlignment="1" applyBorder="1" applyFont="1">
      <alignment horizontal="center" shrinkToFit="0" vertical="center" wrapText="0"/>
    </xf>
    <xf borderId="1" fillId="4" fontId="1" numFmtId="166" xfId="0" applyAlignment="1" applyBorder="1" applyFont="1" applyNumberFormat="1">
      <alignment horizontal="center" shrinkToFit="0" vertical="center" wrapText="0"/>
    </xf>
    <xf borderId="1" fillId="3" fontId="1" numFmtId="164" xfId="0" applyAlignment="1" applyBorder="1" applyFont="1" applyNumberFormat="1">
      <alignment horizontal="center" shrinkToFit="0" vertical="center" wrapText="0"/>
    </xf>
    <xf borderId="1" fillId="4" fontId="1" numFmtId="164" xfId="0" applyAlignment="1" applyBorder="1" applyFont="1" applyNumberFormat="1">
      <alignment horizontal="center" shrinkToFit="0" vertical="center" wrapText="0"/>
    </xf>
    <xf borderId="1" fillId="3" fontId="2" numFmtId="3" xfId="0" applyAlignment="1" applyBorder="1" applyFont="1" applyNumberFormat="1">
      <alignment horizontal="center" shrinkToFit="0" vertical="center" wrapText="0"/>
    </xf>
    <xf borderId="1" fillId="4" fontId="2" numFmtId="3" xfId="0" applyAlignment="1" applyBorder="1" applyFont="1" applyNumberFormat="1">
      <alignment horizontal="center" shrinkToFit="0" vertical="center" wrapText="0"/>
    </xf>
    <xf borderId="1" fillId="3" fontId="3" numFmtId="3" xfId="0" applyAlignment="1" applyBorder="1" applyFont="1" applyNumberFormat="1">
      <alignment horizontal="center" shrinkToFit="0" vertical="center" wrapText="0"/>
    </xf>
    <xf borderId="1" fillId="3" fontId="3" numFmtId="164" xfId="0" applyAlignment="1" applyBorder="1" applyFont="1" applyNumberFormat="1">
      <alignment horizontal="center" shrinkToFit="0" vertical="center" wrapText="0"/>
    </xf>
    <xf borderId="1" fillId="3" fontId="3" numFmtId="165" xfId="0" applyAlignment="1" applyBorder="1" applyFont="1" applyNumberFormat="1">
      <alignment horizontal="center" shrinkToFit="0" vertical="center" wrapText="0"/>
    </xf>
    <xf borderId="1" fillId="3" fontId="4" numFmtId="3" xfId="0" applyAlignment="1" applyBorder="1" applyFont="1" applyNumberFormat="1">
      <alignment horizontal="center" shrinkToFit="0" vertical="center" wrapText="0"/>
    </xf>
    <xf borderId="1" fillId="3" fontId="4" numFmtId="0" xfId="0" applyAlignment="1" applyBorder="1" applyFont="1">
      <alignment horizontal="center" shrinkToFit="0" vertical="center" wrapText="0"/>
    </xf>
    <xf borderId="1" fillId="3" fontId="1" numFmtId="165" xfId="0" applyAlignment="1" applyBorder="1" applyFont="1" applyNumberFormat="1">
      <alignment shrinkToFit="0" vertical="center" wrapText="0"/>
    </xf>
    <xf borderId="1" fillId="4" fontId="3" numFmtId="3" xfId="0" applyAlignment="1" applyBorder="1" applyFont="1" applyNumberFormat="1">
      <alignment horizontal="center" shrinkToFit="0" vertical="center" wrapText="0"/>
    </xf>
    <xf borderId="1" fillId="4" fontId="3" numFmtId="164" xfId="0" applyAlignment="1" applyBorder="1" applyFont="1" applyNumberFormat="1">
      <alignment horizontal="center" shrinkToFit="0" vertical="center" wrapText="0"/>
    </xf>
    <xf borderId="1" fillId="4" fontId="3" numFmtId="165" xfId="0" applyAlignment="1" applyBorder="1" applyFont="1" applyNumberFormat="1">
      <alignment horizontal="center" shrinkToFit="0" vertical="center" wrapText="0"/>
    </xf>
    <xf borderId="1" fillId="4" fontId="4" numFmtId="3" xfId="0" applyAlignment="1" applyBorder="1" applyFont="1" applyNumberFormat="1">
      <alignment horizontal="center" shrinkToFit="0" vertical="center" wrapText="0"/>
    </xf>
    <xf borderId="1" fillId="4" fontId="4" numFmtId="0" xfId="0" applyAlignment="1" applyBorder="1" applyFont="1">
      <alignment horizontal="center" shrinkToFit="0" vertical="center" wrapText="0"/>
    </xf>
    <xf borderId="1" fillId="4" fontId="1" numFmtId="165" xfId="0" applyAlignment="1" applyBorder="1" applyFont="1" applyNumberFormat="1">
      <alignment shrinkToFit="0" vertical="center" wrapText="0"/>
    </xf>
    <xf borderId="1" fillId="4" fontId="4" numFmtId="9" xfId="0" applyAlignment="1" applyBorder="1" applyFont="1" applyNumberFormat="1">
      <alignment horizontal="center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3" fontId="3" numFmtId="167" xfId="0" applyAlignment="1" applyBorder="1" applyFont="1" applyNumberFormat="1">
      <alignment horizontal="center" shrinkToFit="0" vertical="center" wrapText="0"/>
    </xf>
    <xf borderId="1" fillId="3" fontId="3" numFmtId="168" xfId="0" applyAlignment="1" applyBorder="1" applyFont="1" applyNumberFormat="1">
      <alignment horizontal="center" shrinkToFit="0" vertical="center" wrapText="0"/>
    </xf>
    <xf borderId="1" fillId="4" fontId="3" numFmtId="0" xfId="0" applyAlignment="1" applyBorder="1" applyFont="1">
      <alignment horizontal="center" shrinkToFit="0" vertical="center" wrapText="0"/>
    </xf>
    <xf borderId="1" fillId="4" fontId="3" numFmtId="167" xfId="0" applyAlignment="1" applyBorder="1" applyFont="1" applyNumberFormat="1">
      <alignment horizontal="center" shrinkToFit="0" vertical="center" wrapText="0"/>
    </xf>
    <xf borderId="1" fillId="4" fontId="3" numFmtId="168" xfId="0" applyAlignment="1" applyBorder="1" applyFont="1" applyNumberFormat="1">
      <alignment horizontal="center" shrinkToFit="0" vertical="center" wrapText="0"/>
    </xf>
    <xf borderId="1" fillId="3" fontId="5" numFmtId="3" xfId="0" applyAlignment="1" applyBorder="1" applyFont="1" applyNumberFormat="1">
      <alignment horizontal="center" shrinkToFit="0" vertical="center" wrapText="0"/>
    </xf>
    <xf borderId="1" fillId="3" fontId="5" numFmtId="0" xfId="0" applyAlignment="1" applyBorder="1" applyFont="1">
      <alignment horizontal="center" shrinkToFit="0" vertical="center" wrapText="0"/>
    </xf>
    <xf borderId="1" fillId="4" fontId="5" numFmtId="3" xfId="0" applyAlignment="1" applyBorder="1" applyFont="1" applyNumberFormat="1">
      <alignment horizontal="center" shrinkToFit="0" vertical="center" wrapText="0"/>
    </xf>
    <xf borderId="1" fillId="4" fontId="5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2" width="11.38"/>
    <col customWidth="1" min="3" max="3" width="70.5"/>
    <col customWidth="1" min="4" max="6" width="14.75"/>
    <col customWidth="1" min="7" max="7" width="14.63"/>
    <col customWidth="1" min="8" max="9" width="14.5"/>
    <col customWidth="1" min="10" max="11" width="14.75"/>
    <col customWidth="1" min="12" max="17" width="11.38"/>
    <col customWidth="1" min="18" max="20" width="14.63"/>
    <col customWidth="1" min="21" max="21" width="14.5"/>
    <col customWidth="1" min="22" max="22" width="14.63"/>
    <col customWidth="1" min="23" max="25" width="14.5"/>
    <col customWidth="1" min="26" max="26" width="11.38"/>
    <col customWidth="1" min="27" max="27" width="13.75"/>
    <col customWidth="1" min="28" max="28" width="14.75"/>
    <col customWidth="1" min="29" max="30" width="10.63"/>
    <col customWidth="1" min="31" max="31" width="49.25"/>
    <col customWidth="1" min="32" max="32" width="16.38"/>
    <col customWidth="1" min="33" max="35" width="14.75"/>
    <col customWidth="1" min="36" max="37" width="12.5"/>
    <col customWidth="1" min="38" max="40" width="14.5"/>
    <col customWidth="1" min="41" max="41" width="14.13"/>
    <col customWidth="1" min="42" max="43" width="11.38"/>
    <col customWidth="1" min="44" max="44" width="14.5"/>
    <col customWidth="1" min="45" max="46" width="11.38"/>
    <col customWidth="1" min="47" max="47" width="12.5"/>
    <col customWidth="1" min="48" max="48" width="11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</row>
    <row r="2" ht="22.5" customHeight="1">
      <c r="A2" s="3" t="s">
        <v>48</v>
      </c>
      <c r="B2" s="3" t="s">
        <v>49</v>
      </c>
      <c r="C2" s="3" t="s">
        <v>50</v>
      </c>
      <c r="D2" s="4" t="s">
        <v>51</v>
      </c>
      <c r="E2" s="4" t="s">
        <v>52</v>
      </c>
      <c r="F2" s="4">
        <v>44.0</v>
      </c>
      <c r="G2" s="4">
        <f>46+60</f>
        <v>106</v>
      </c>
      <c r="H2" s="5">
        <v>46001.0</v>
      </c>
      <c r="I2" s="6">
        <v>0.7090277777777778</v>
      </c>
      <c r="J2" s="4">
        <v>326.0</v>
      </c>
      <c r="K2" s="4">
        <v>2010.0</v>
      </c>
      <c r="L2" s="4">
        <v>23.0</v>
      </c>
      <c r="M2" s="4" t="s">
        <v>53</v>
      </c>
      <c r="N2" s="4">
        <v>12.0</v>
      </c>
      <c r="O2" s="4">
        <f t="shared" ref="O2:O69" si="2">IF(C2="","",LEN(TRIM(C2)) - LEN(SUBSTITUTE(C2," ","")) + 1)</f>
        <v>13</v>
      </c>
      <c r="P2" s="3">
        <v>427.0</v>
      </c>
      <c r="Q2" s="3" t="s">
        <v>54</v>
      </c>
      <c r="R2" s="7" t="s">
        <v>55</v>
      </c>
      <c r="S2" s="7" t="s">
        <v>56</v>
      </c>
      <c r="T2" s="7">
        <v>10.0</v>
      </c>
      <c r="U2" s="4">
        <v>10.0</v>
      </c>
      <c r="V2" s="7">
        <v>9.5</v>
      </c>
      <c r="W2" s="4">
        <v>10.0</v>
      </c>
      <c r="X2" s="7">
        <v>7.5</v>
      </c>
      <c r="Y2" s="4">
        <v>9.0</v>
      </c>
      <c r="Z2" s="7">
        <f t="shared" ref="Z2:AA2" si="1">ROUND(0.4*T2 + 0.35*V2 + 0.25*X2, 2)</f>
        <v>9.2</v>
      </c>
      <c r="AA2" s="7">
        <f t="shared" si="1"/>
        <v>9.75</v>
      </c>
      <c r="AB2" s="3" t="s">
        <v>57</v>
      </c>
      <c r="AC2" s="8" t="s">
        <v>58</v>
      </c>
      <c r="AD2" s="4">
        <v>102.0</v>
      </c>
      <c r="AE2" s="4" t="s">
        <v>59</v>
      </c>
      <c r="AF2" s="4">
        <v>312.0</v>
      </c>
      <c r="AG2" s="3" t="s">
        <v>60</v>
      </c>
      <c r="AH2" s="3" t="s">
        <v>61</v>
      </c>
      <c r="AI2" s="5">
        <v>46001.0</v>
      </c>
      <c r="AJ2" s="3" t="s">
        <v>62</v>
      </c>
      <c r="AK2" s="6">
        <v>0.8465277777777778</v>
      </c>
      <c r="AL2" s="4">
        <v>3570.0</v>
      </c>
      <c r="AM2" s="4">
        <v>64.0</v>
      </c>
      <c r="AN2" s="4">
        <v>955.0</v>
      </c>
      <c r="AO2" s="4">
        <f t="shared" ref="AO2:AO5" si="4">120+13</f>
        <v>133</v>
      </c>
      <c r="AP2" s="4">
        <v>135606.0</v>
      </c>
      <c r="AQ2" s="3">
        <v>433.0</v>
      </c>
      <c r="AR2" s="4">
        <v>22.0</v>
      </c>
      <c r="AS2" s="3">
        <v>259.0</v>
      </c>
      <c r="AT2" s="3">
        <v>9.0</v>
      </c>
      <c r="AU2" s="3">
        <v>265.0</v>
      </c>
      <c r="AV2" s="3">
        <v>3.0</v>
      </c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</row>
    <row r="3" ht="22.5" customHeight="1">
      <c r="A3" s="9" t="s">
        <v>48</v>
      </c>
      <c r="B3" s="9" t="s">
        <v>60</v>
      </c>
      <c r="C3" s="9" t="s">
        <v>50</v>
      </c>
      <c r="D3" s="10" t="s">
        <v>51</v>
      </c>
      <c r="E3" s="10" t="s">
        <v>52</v>
      </c>
      <c r="F3" s="10">
        <v>17.0</v>
      </c>
      <c r="G3" s="10">
        <v>44.0</v>
      </c>
      <c r="H3" s="11">
        <v>46001.0</v>
      </c>
      <c r="I3" s="12">
        <v>0.7041666666666667</v>
      </c>
      <c r="J3" s="10">
        <v>261.0</v>
      </c>
      <c r="K3" s="10">
        <v>1534.0</v>
      </c>
      <c r="L3" s="10">
        <v>19.0</v>
      </c>
      <c r="M3" s="10" t="s">
        <v>63</v>
      </c>
      <c r="N3" s="10">
        <v>9.0</v>
      </c>
      <c r="O3" s="10">
        <f t="shared" si="2"/>
        <v>13</v>
      </c>
      <c r="P3" s="9">
        <v>324.0</v>
      </c>
      <c r="Q3" s="9" t="s">
        <v>64</v>
      </c>
      <c r="R3" s="13" t="s">
        <v>55</v>
      </c>
      <c r="S3" s="13" t="s">
        <v>56</v>
      </c>
      <c r="T3" s="13">
        <v>10.0</v>
      </c>
      <c r="U3" s="10">
        <v>10.0</v>
      </c>
      <c r="V3" s="13">
        <v>9.0</v>
      </c>
      <c r="W3" s="10">
        <v>10.0</v>
      </c>
      <c r="X3" s="13">
        <v>6.0</v>
      </c>
      <c r="Y3" s="10">
        <v>8.0</v>
      </c>
      <c r="Z3" s="13">
        <f t="shared" ref="Z3:AA3" si="3">ROUND(0.4*T3 + 0.35*V3 + 0.25*X3, 2)</f>
        <v>8.65</v>
      </c>
      <c r="AA3" s="13">
        <f t="shared" si="3"/>
        <v>9.5</v>
      </c>
      <c r="AB3" s="9" t="s">
        <v>57</v>
      </c>
      <c r="AC3" s="14" t="s">
        <v>58</v>
      </c>
      <c r="AD3" s="10">
        <v>102.0</v>
      </c>
      <c r="AE3" s="10" t="s">
        <v>59</v>
      </c>
      <c r="AF3" s="10">
        <v>312.0</v>
      </c>
      <c r="AG3" s="9" t="s">
        <v>60</v>
      </c>
      <c r="AH3" s="9" t="s">
        <v>61</v>
      </c>
      <c r="AI3" s="11">
        <v>46001.0</v>
      </c>
      <c r="AJ3" s="9" t="s">
        <v>62</v>
      </c>
      <c r="AK3" s="12">
        <v>0.8465277777777778</v>
      </c>
      <c r="AL3" s="10">
        <v>3570.0</v>
      </c>
      <c r="AM3" s="10">
        <v>64.0</v>
      </c>
      <c r="AN3" s="10">
        <v>955.0</v>
      </c>
      <c r="AO3" s="10">
        <f t="shared" si="4"/>
        <v>133</v>
      </c>
      <c r="AP3" s="10">
        <v>135606.0</v>
      </c>
      <c r="AQ3" s="9">
        <v>433.0</v>
      </c>
      <c r="AR3" s="10">
        <v>22.0</v>
      </c>
      <c r="AS3" s="9">
        <v>259.0</v>
      </c>
      <c r="AT3" s="9">
        <v>9.0</v>
      </c>
      <c r="AU3" s="9">
        <v>265.0</v>
      </c>
      <c r="AV3" s="9">
        <v>3.0</v>
      </c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</row>
    <row r="4" ht="22.5" customHeight="1">
      <c r="A4" s="3" t="s">
        <v>48</v>
      </c>
      <c r="B4" s="3" t="s">
        <v>65</v>
      </c>
      <c r="C4" s="3" t="s">
        <v>50</v>
      </c>
      <c r="D4" s="4" t="s">
        <v>51</v>
      </c>
      <c r="E4" s="4" t="s">
        <v>52</v>
      </c>
      <c r="F4" s="4">
        <v>11.0</v>
      </c>
      <c r="G4" s="4">
        <v>19.0</v>
      </c>
      <c r="H4" s="5">
        <v>46001.0</v>
      </c>
      <c r="I4" s="6">
        <v>0.7430555555555556</v>
      </c>
      <c r="J4" s="4">
        <v>114.0</v>
      </c>
      <c r="K4" s="4">
        <v>704.0</v>
      </c>
      <c r="L4" s="4">
        <v>6.0</v>
      </c>
      <c r="M4" s="4" t="s">
        <v>53</v>
      </c>
      <c r="N4" s="4">
        <v>6.0</v>
      </c>
      <c r="O4" s="4">
        <f t="shared" si="2"/>
        <v>13</v>
      </c>
      <c r="P4" s="3">
        <v>201.0</v>
      </c>
      <c r="Q4" s="3" t="s">
        <v>66</v>
      </c>
      <c r="R4" s="7" t="s">
        <v>55</v>
      </c>
      <c r="S4" s="7" t="s">
        <v>56</v>
      </c>
      <c r="T4" s="7">
        <v>10.0</v>
      </c>
      <c r="U4" s="4">
        <v>10.0</v>
      </c>
      <c r="V4" s="7">
        <v>9.0</v>
      </c>
      <c r="W4" s="4">
        <v>10.0</v>
      </c>
      <c r="X4" s="7">
        <v>6.0</v>
      </c>
      <c r="Y4" s="4">
        <v>8.0</v>
      </c>
      <c r="Z4" s="7">
        <f t="shared" ref="Z4:AA4" si="5">ROUND(0.4*T4 + 0.35*V4 + 0.25*X4, 2)</f>
        <v>8.65</v>
      </c>
      <c r="AA4" s="7">
        <f t="shared" si="5"/>
        <v>9.5</v>
      </c>
      <c r="AB4" s="3" t="s">
        <v>57</v>
      </c>
      <c r="AC4" s="8" t="s">
        <v>58</v>
      </c>
      <c r="AD4" s="4">
        <v>102.0</v>
      </c>
      <c r="AE4" s="4" t="s">
        <v>59</v>
      </c>
      <c r="AF4" s="4">
        <v>312.0</v>
      </c>
      <c r="AG4" s="3" t="s">
        <v>60</v>
      </c>
      <c r="AH4" s="3" t="s">
        <v>61</v>
      </c>
      <c r="AI4" s="5">
        <v>46001.0</v>
      </c>
      <c r="AJ4" s="3" t="s">
        <v>62</v>
      </c>
      <c r="AK4" s="6">
        <v>0.8465277777777778</v>
      </c>
      <c r="AL4" s="4">
        <v>3570.0</v>
      </c>
      <c r="AM4" s="4">
        <v>64.0</v>
      </c>
      <c r="AN4" s="4">
        <v>955.0</v>
      </c>
      <c r="AO4" s="4">
        <f t="shared" si="4"/>
        <v>133</v>
      </c>
      <c r="AP4" s="4">
        <v>135606.0</v>
      </c>
      <c r="AQ4" s="3">
        <v>433.0</v>
      </c>
      <c r="AR4" s="4">
        <v>22.0</v>
      </c>
      <c r="AS4" s="3">
        <v>259.0</v>
      </c>
      <c r="AT4" s="3">
        <v>9.0</v>
      </c>
      <c r="AU4" s="3">
        <v>265.0</v>
      </c>
      <c r="AV4" s="3">
        <v>3.0</v>
      </c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</row>
    <row r="5" ht="22.5" customHeight="1">
      <c r="A5" s="9" t="s">
        <v>48</v>
      </c>
      <c r="B5" s="9" t="s">
        <v>67</v>
      </c>
      <c r="C5" s="9" t="s">
        <v>50</v>
      </c>
      <c r="D5" s="10" t="s">
        <v>51</v>
      </c>
      <c r="E5" s="10" t="s">
        <v>52</v>
      </c>
      <c r="F5" s="10">
        <v>61.0</v>
      </c>
      <c r="G5" s="10">
        <f>120+4</f>
        <v>124</v>
      </c>
      <c r="H5" s="11">
        <v>46001.0</v>
      </c>
      <c r="I5" s="12">
        <v>0.7333333333333333</v>
      </c>
      <c r="J5" s="10">
        <v>1363.0</v>
      </c>
      <c r="K5" s="10">
        <v>12726.0</v>
      </c>
      <c r="L5" s="10">
        <v>23.0</v>
      </c>
      <c r="M5" s="10" t="s">
        <v>68</v>
      </c>
      <c r="N5" s="10">
        <v>18.0</v>
      </c>
      <c r="O5" s="10">
        <f t="shared" si="2"/>
        <v>13</v>
      </c>
      <c r="P5" s="9">
        <v>503.0</v>
      </c>
      <c r="Q5" s="9" t="s">
        <v>69</v>
      </c>
      <c r="R5" s="13" t="s">
        <v>70</v>
      </c>
      <c r="S5" s="13" t="s">
        <v>71</v>
      </c>
      <c r="T5" s="13">
        <v>10.0</v>
      </c>
      <c r="U5" s="10">
        <v>10.0</v>
      </c>
      <c r="V5" s="13">
        <v>9.5</v>
      </c>
      <c r="W5" s="10">
        <v>10.0</v>
      </c>
      <c r="X5" s="13">
        <v>8.0</v>
      </c>
      <c r="Y5" s="10">
        <v>10.0</v>
      </c>
      <c r="Z5" s="13">
        <f t="shared" ref="Z5:AA5" si="6">ROUND(0.4*T5 + 0.35*V5 + 0.25*X5, 2)</f>
        <v>9.33</v>
      </c>
      <c r="AA5" s="13">
        <f t="shared" si="6"/>
        <v>10</v>
      </c>
      <c r="AB5" s="9" t="s">
        <v>57</v>
      </c>
      <c r="AC5" s="14" t="s">
        <v>58</v>
      </c>
      <c r="AD5" s="10">
        <v>102.0</v>
      </c>
      <c r="AE5" s="10" t="s">
        <v>59</v>
      </c>
      <c r="AF5" s="10">
        <v>312.0</v>
      </c>
      <c r="AG5" s="9" t="s">
        <v>60</v>
      </c>
      <c r="AH5" s="9" t="s">
        <v>61</v>
      </c>
      <c r="AI5" s="11">
        <v>46001.0</v>
      </c>
      <c r="AJ5" s="9" t="s">
        <v>62</v>
      </c>
      <c r="AK5" s="12">
        <v>0.8465277777777778</v>
      </c>
      <c r="AL5" s="10">
        <v>3570.0</v>
      </c>
      <c r="AM5" s="10">
        <v>64.0</v>
      </c>
      <c r="AN5" s="10">
        <v>955.0</v>
      </c>
      <c r="AO5" s="10">
        <f t="shared" si="4"/>
        <v>133</v>
      </c>
      <c r="AP5" s="10">
        <v>135606.0</v>
      </c>
      <c r="AQ5" s="9">
        <v>433.0</v>
      </c>
      <c r="AR5" s="10">
        <v>22.0</v>
      </c>
      <c r="AS5" s="9">
        <v>259.0</v>
      </c>
      <c r="AT5" s="9">
        <v>9.0</v>
      </c>
      <c r="AU5" s="9">
        <v>265.0</v>
      </c>
      <c r="AV5" s="9">
        <v>3.0</v>
      </c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</row>
    <row r="6" ht="22.5" customHeight="1">
      <c r="A6" s="3" t="s">
        <v>72</v>
      </c>
      <c r="B6" s="3" t="s">
        <v>73</v>
      </c>
      <c r="C6" s="3" t="s">
        <v>74</v>
      </c>
      <c r="D6" s="3" t="s">
        <v>75</v>
      </c>
      <c r="E6" s="4" t="s">
        <v>52</v>
      </c>
      <c r="F6" s="4">
        <v>23.0</v>
      </c>
      <c r="G6" s="4">
        <f>60+42</f>
        <v>102</v>
      </c>
      <c r="H6" s="5">
        <v>46002.0</v>
      </c>
      <c r="I6" s="6">
        <v>0.8145833333333333</v>
      </c>
      <c r="J6" s="4">
        <v>229.0</v>
      </c>
      <c r="K6" s="4">
        <v>1374.0</v>
      </c>
      <c r="L6" s="4">
        <v>16.0</v>
      </c>
      <c r="M6" s="4" t="s">
        <v>76</v>
      </c>
      <c r="N6" s="4">
        <v>8.0</v>
      </c>
      <c r="O6" s="4">
        <f t="shared" si="2"/>
        <v>24</v>
      </c>
      <c r="P6" s="3">
        <v>640.0</v>
      </c>
      <c r="Q6" s="3" t="s">
        <v>54</v>
      </c>
      <c r="R6" s="7" t="s">
        <v>55</v>
      </c>
      <c r="S6" s="7" t="s">
        <v>56</v>
      </c>
      <c r="T6" s="7">
        <v>0.0</v>
      </c>
      <c r="U6" s="4">
        <v>2.0</v>
      </c>
      <c r="V6" s="7">
        <v>0.0</v>
      </c>
      <c r="W6" s="4">
        <v>1.0</v>
      </c>
      <c r="X6" s="7">
        <v>1.0</v>
      </c>
      <c r="Y6" s="4">
        <v>5.0</v>
      </c>
      <c r="Z6" s="7">
        <f t="shared" ref="Z6:AA6" si="7">ROUND(0.4*T6 + 0.35*V6 + 0.25*X6, 2)</f>
        <v>0.25</v>
      </c>
      <c r="AA6" s="7">
        <f t="shared" si="7"/>
        <v>2.4</v>
      </c>
      <c r="AB6" s="3" t="s">
        <v>77</v>
      </c>
      <c r="AC6" s="8" t="s">
        <v>78</v>
      </c>
      <c r="AD6" s="4">
        <v>94.0</v>
      </c>
      <c r="AE6" s="4" t="s">
        <v>59</v>
      </c>
      <c r="AF6" s="4">
        <v>205.0</v>
      </c>
      <c r="AG6" s="3" t="s">
        <v>60</v>
      </c>
      <c r="AH6" s="3" t="s">
        <v>61</v>
      </c>
      <c r="AI6" s="5">
        <v>46004.0</v>
      </c>
      <c r="AJ6" s="3" t="s">
        <v>79</v>
      </c>
      <c r="AK6" s="6">
        <v>0.3298611111111111</v>
      </c>
      <c r="AL6" s="4">
        <v>3760.0</v>
      </c>
      <c r="AM6" s="4">
        <v>70.0</v>
      </c>
      <c r="AN6" s="4">
        <v>959.0</v>
      </c>
      <c r="AO6" s="4">
        <f t="shared" ref="AO6:AO9" si="9">60+3</f>
        <v>63</v>
      </c>
      <c r="AP6" s="4">
        <v>206661.0</v>
      </c>
      <c r="AQ6" s="3">
        <v>1396.0</v>
      </c>
      <c r="AR6" s="4">
        <v>78.0</v>
      </c>
      <c r="AS6" s="3">
        <v>14.0</v>
      </c>
      <c r="AT6" s="3">
        <v>0.0</v>
      </c>
      <c r="AU6" s="3">
        <v>106.0</v>
      </c>
      <c r="AV6" s="3">
        <v>0.0</v>
      </c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</row>
    <row r="7" ht="22.5" customHeight="1">
      <c r="A7" s="9" t="s">
        <v>72</v>
      </c>
      <c r="B7" s="9" t="s">
        <v>60</v>
      </c>
      <c r="C7" s="9" t="s">
        <v>74</v>
      </c>
      <c r="D7" s="9" t="s">
        <v>75</v>
      </c>
      <c r="E7" s="10" t="s">
        <v>52</v>
      </c>
      <c r="F7" s="10">
        <v>13.0</v>
      </c>
      <c r="G7" s="10">
        <v>43.0</v>
      </c>
      <c r="H7" s="11">
        <v>46002.0</v>
      </c>
      <c r="I7" s="12">
        <v>0.8111111111111111</v>
      </c>
      <c r="J7" s="10">
        <v>220.0</v>
      </c>
      <c r="K7" s="10">
        <v>1347.0</v>
      </c>
      <c r="L7" s="10">
        <v>14.0</v>
      </c>
      <c r="M7" s="10" t="s">
        <v>76</v>
      </c>
      <c r="N7" s="10">
        <v>6.0</v>
      </c>
      <c r="O7" s="10">
        <f t="shared" si="2"/>
        <v>24</v>
      </c>
      <c r="P7" s="9">
        <v>282.0</v>
      </c>
      <c r="Q7" s="9" t="s">
        <v>64</v>
      </c>
      <c r="R7" s="13" t="s">
        <v>55</v>
      </c>
      <c r="S7" s="13" t="s">
        <v>56</v>
      </c>
      <c r="T7" s="13">
        <v>9.0</v>
      </c>
      <c r="U7" s="10">
        <v>8.0</v>
      </c>
      <c r="V7" s="13">
        <v>9.0</v>
      </c>
      <c r="W7" s="10">
        <v>9.0</v>
      </c>
      <c r="X7" s="13">
        <v>8.0</v>
      </c>
      <c r="Y7" s="10">
        <v>6.0</v>
      </c>
      <c r="Z7" s="13">
        <f t="shared" ref="Z7:AA7" si="8">ROUND(0.4*T7 + 0.35*V7 + 0.25*X7, 2)</f>
        <v>8.75</v>
      </c>
      <c r="AA7" s="13">
        <f t="shared" si="8"/>
        <v>7.85</v>
      </c>
      <c r="AB7" s="9" t="s">
        <v>77</v>
      </c>
      <c r="AC7" s="14" t="s">
        <v>78</v>
      </c>
      <c r="AD7" s="10">
        <v>94.0</v>
      </c>
      <c r="AE7" s="10" t="s">
        <v>59</v>
      </c>
      <c r="AF7" s="10">
        <v>205.0</v>
      </c>
      <c r="AG7" s="9" t="s">
        <v>60</v>
      </c>
      <c r="AH7" s="9" t="s">
        <v>61</v>
      </c>
      <c r="AI7" s="11">
        <v>46004.0</v>
      </c>
      <c r="AJ7" s="9" t="s">
        <v>79</v>
      </c>
      <c r="AK7" s="12">
        <v>0.3298611111111111</v>
      </c>
      <c r="AL7" s="10">
        <v>3760.0</v>
      </c>
      <c r="AM7" s="10">
        <v>70.0</v>
      </c>
      <c r="AN7" s="10">
        <v>959.0</v>
      </c>
      <c r="AO7" s="10">
        <f t="shared" si="9"/>
        <v>63</v>
      </c>
      <c r="AP7" s="10">
        <v>206661.0</v>
      </c>
      <c r="AQ7" s="9">
        <v>1396.0</v>
      </c>
      <c r="AR7" s="10">
        <v>78.0</v>
      </c>
      <c r="AS7" s="9">
        <v>14.0</v>
      </c>
      <c r="AT7" s="9">
        <v>0.0</v>
      </c>
      <c r="AU7" s="9">
        <v>106.0</v>
      </c>
      <c r="AV7" s="9">
        <v>0.0</v>
      </c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ht="22.5" customHeight="1">
      <c r="A8" s="3" t="s">
        <v>72</v>
      </c>
      <c r="B8" s="3" t="s">
        <v>65</v>
      </c>
      <c r="C8" s="3" t="s">
        <v>74</v>
      </c>
      <c r="D8" s="3" t="s">
        <v>75</v>
      </c>
      <c r="E8" s="4" t="s">
        <v>52</v>
      </c>
      <c r="F8" s="15">
        <v>8.0</v>
      </c>
      <c r="G8" s="15">
        <v>15.0</v>
      </c>
      <c r="H8" s="5">
        <v>46002.0</v>
      </c>
      <c r="I8" s="16">
        <v>0.8194444444444444</v>
      </c>
      <c r="J8" s="15">
        <v>72.0</v>
      </c>
      <c r="K8" s="15">
        <v>431.0</v>
      </c>
      <c r="L8" s="17">
        <v>4.0</v>
      </c>
      <c r="M8" s="17" t="s">
        <v>80</v>
      </c>
      <c r="N8" s="17">
        <v>2.0</v>
      </c>
      <c r="O8" s="15">
        <f t="shared" si="2"/>
        <v>24</v>
      </c>
      <c r="P8" s="17">
        <v>151.0</v>
      </c>
      <c r="Q8" s="3" t="s">
        <v>66</v>
      </c>
      <c r="R8" s="7" t="s">
        <v>55</v>
      </c>
      <c r="S8" s="18" t="s">
        <v>56</v>
      </c>
      <c r="T8" s="18">
        <v>1.0</v>
      </c>
      <c r="U8" s="15">
        <v>5.0</v>
      </c>
      <c r="V8" s="18">
        <v>1.0</v>
      </c>
      <c r="W8" s="15">
        <v>8.0</v>
      </c>
      <c r="X8" s="18">
        <v>1.0</v>
      </c>
      <c r="Y8" s="15">
        <v>4.0</v>
      </c>
      <c r="Z8" s="7">
        <f t="shared" ref="Z8:AA8" si="10">ROUND(0.4*T8 + 0.35*V8 + 0.25*X8, 2)</f>
        <v>1</v>
      </c>
      <c r="AA8" s="7">
        <f t="shared" si="10"/>
        <v>5.8</v>
      </c>
      <c r="AB8" s="17" t="s">
        <v>77</v>
      </c>
      <c r="AC8" s="8" t="s">
        <v>78</v>
      </c>
      <c r="AD8" s="4">
        <v>94.0</v>
      </c>
      <c r="AE8" s="4" t="s">
        <v>59</v>
      </c>
      <c r="AF8" s="4">
        <v>205.0</v>
      </c>
      <c r="AG8" s="3" t="s">
        <v>60</v>
      </c>
      <c r="AH8" s="3" t="s">
        <v>61</v>
      </c>
      <c r="AI8" s="5">
        <v>46004.0</v>
      </c>
      <c r="AJ8" s="3" t="s">
        <v>79</v>
      </c>
      <c r="AK8" s="6">
        <v>0.3298611111111111</v>
      </c>
      <c r="AL8" s="4">
        <v>3760.0</v>
      </c>
      <c r="AM8" s="4">
        <v>70.0</v>
      </c>
      <c r="AN8" s="4">
        <v>959.0</v>
      </c>
      <c r="AO8" s="4">
        <f t="shared" si="9"/>
        <v>63</v>
      </c>
      <c r="AP8" s="4">
        <v>206661.0</v>
      </c>
      <c r="AQ8" s="3">
        <v>1396.0</v>
      </c>
      <c r="AR8" s="4">
        <v>78.0</v>
      </c>
      <c r="AS8" s="3">
        <v>14.0</v>
      </c>
      <c r="AT8" s="3">
        <v>0.0</v>
      </c>
      <c r="AU8" s="3">
        <v>106.0</v>
      </c>
      <c r="AV8" s="3">
        <v>0.0</v>
      </c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</row>
    <row r="9" ht="22.5" customHeight="1">
      <c r="A9" s="9" t="s">
        <v>72</v>
      </c>
      <c r="B9" s="9" t="s">
        <v>67</v>
      </c>
      <c r="C9" s="9" t="s">
        <v>74</v>
      </c>
      <c r="D9" s="9" t="s">
        <v>75</v>
      </c>
      <c r="E9" s="10" t="s">
        <v>52</v>
      </c>
      <c r="F9" s="19">
        <v>57.0</v>
      </c>
      <c r="G9" s="19">
        <f>120+53</f>
        <v>173</v>
      </c>
      <c r="H9" s="11">
        <v>46002.0</v>
      </c>
      <c r="I9" s="20">
        <v>0.8222222222222222</v>
      </c>
      <c r="J9" s="19">
        <v>1297.0</v>
      </c>
      <c r="K9" s="19">
        <v>12524.0</v>
      </c>
      <c r="L9" s="21">
        <v>24.0</v>
      </c>
      <c r="M9" s="21" t="s">
        <v>81</v>
      </c>
      <c r="N9" s="21">
        <v>45.0</v>
      </c>
      <c r="O9" s="19">
        <f t="shared" si="2"/>
        <v>24</v>
      </c>
      <c r="P9" s="21">
        <v>682.0</v>
      </c>
      <c r="Q9" s="9" t="s">
        <v>69</v>
      </c>
      <c r="R9" s="13" t="s">
        <v>70</v>
      </c>
      <c r="S9" s="22" t="s">
        <v>71</v>
      </c>
      <c r="T9" s="22">
        <v>10.0</v>
      </c>
      <c r="U9" s="19">
        <v>10.0</v>
      </c>
      <c r="V9" s="22">
        <v>10.0</v>
      </c>
      <c r="W9" s="19">
        <v>10.0</v>
      </c>
      <c r="X9" s="22">
        <v>10.0</v>
      </c>
      <c r="Y9" s="19">
        <v>9.0</v>
      </c>
      <c r="Z9" s="13">
        <f t="shared" ref="Z9:AA9" si="11">ROUND(0.4*T9 + 0.35*V9 + 0.25*X9, 2)</f>
        <v>10</v>
      </c>
      <c r="AA9" s="13">
        <f t="shared" si="11"/>
        <v>9.75</v>
      </c>
      <c r="AB9" s="21" t="s">
        <v>77</v>
      </c>
      <c r="AC9" s="14" t="s">
        <v>78</v>
      </c>
      <c r="AD9" s="10">
        <v>94.0</v>
      </c>
      <c r="AE9" s="10" t="s">
        <v>59</v>
      </c>
      <c r="AF9" s="10">
        <v>205.0</v>
      </c>
      <c r="AG9" s="9" t="s">
        <v>60</v>
      </c>
      <c r="AH9" s="9" t="s">
        <v>61</v>
      </c>
      <c r="AI9" s="11">
        <v>46004.0</v>
      </c>
      <c r="AJ9" s="9" t="s">
        <v>79</v>
      </c>
      <c r="AK9" s="12">
        <v>0.3298611111111111</v>
      </c>
      <c r="AL9" s="10">
        <v>3760.0</v>
      </c>
      <c r="AM9" s="10">
        <v>70.0</v>
      </c>
      <c r="AN9" s="10">
        <v>959.0</v>
      </c>
      <c r="AO9" s="10">
        <f t="shared" si="9"/>
        <v>63</v>
      </c>
      <c r="AP9" s="10">
        <v>206661.0</v>
      </c>
      <c r="AQ9" s="9">
        <v>1396.0</v>
      </c>
      <c r="AR9" s="10">
        <v>78.0</v>
      </c>
      <c r="AS9" s="9">
        <v>14.0</v>
      </c>
      <c r="AT9" s="9">
        <v>0.0</v>
      </c>
      <c r="AU9" s="9">
        <v>106.0</v>
      </c>
      <c r="AV9" s="9">
        <v>0.0</v>
      </c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</row>
    <row r="10" ht="22.5" customHeight="1">
      <c r="A10" s="3" t="s">
        <v>82</v>
      </c>
      <c r="B10" s="3" t="s">
        <v>73</v>
      </c>
      <c r="C10" s="3" t="s">
        <v>83</v>
      </c>
      <c r="D10" s="17" t="s">
        <v>75</v>
      </c>
      <c r="E10" s="4" t="s">
        <v>52</v>
      </c>
      <c r="F10" s="15">
        <v>16.0</v>
      </c>
      <c r="G10" s="15">
        <f>60+16</f>
        <v>76</v>
      </c>
      <c r="H10" s="23">
        <v>46003.0</v>
      </c>
      <c r="I10" s="16">
        <v>0.6743055555555556</v>
      </c>
      <c r="J10" s="15">
        <v>71.0</v>
      </c>
      <c r="K10" s="15">
        <v>440.0</v>
      </c>
      <c r="L10" s="17">
        <v>5.0</v>
      </c>
      <c r="M10" s="17" t="s">
        <v>84</v>
      </c>
      <c r="N10" s="17">
        <v>3.0</v>
      </c>
      <c r="O10" s="15">
        <f t="shared" si="2"/>
        <v>18</v>
      </c>
      <c r="P10" s="17">
        <v>554.0</v>
      </c>
      <c r="Q10" s="3" t="s">
        <v>54</v>
      </c>
      <c r="R10" s="7" t="s">
        <v>55</v>
      </c>
      <c r="S10" s="17" t="s">
        <v>56</v>
      </c>
      <c r="T10" s="18">
        <v>9.0</v>
      </c>
      <c r="U10" s="15">
        <v>10.0</v>
      </c>
      <c r="V10" s="18">
        <v>9.0</v>
      </c>
      <c r="W10" s="15">
        <v>10.0</v>
      </c>
      <c r="X10" s="18">
        <v>7.0</v>
      </c>
      <c r="Y10" s="15">
        <v>10.0</v>
      </c>
      <c r="Z10" s="7">
        <f t="shared" ref="Z10:AA10" si="12">ROUND(0.4*T10 + 0.35*V10 + 0.25*X10, 2)</f>
        <v>8.5</v>
      </c>
      <c r="AA10" s="7">
        <f t="shared" si="12"/>
        <v>10</v>
      </c>
      <c r="AB10" s="17" t="s">
        <v>57</v>
      </c>
      <c r="AC10" s="17" t="s">
        <v>85</v>
      </c>
      <c r="AD10" s="15">
        <v>91.0</v>
      </c>
      <c r="AE10" s="4" t="s">
        <v>59</v>
      </c>
      <c r="AF10" s="15">
        <v>304.0</v>
      </c>
      <c r="AG10" s="3" t="s">
        <v>73</v>
      </c>
      <c r="AH10" s="3" t="s">
        <v>61</v>
      </c>
      <c r="AI10" s="23">
        <v>46008.0</v>
      </c>
      <c r="AJ10" s="17" t="s">
        <v>62</v>
      </c>
      <c r="AK10" s="16">
        <v>0.675</v>
      </c>
      <c r="AL10" s="15">
        <v>4082.0</v>
      </c>
      <c r="AM10" s="15">
        <v>77.0</v>
      </c>
      <c r="AN10" s="15">
        <v>974.0</v>
      </c>
      <c r="AO10" s="15">
        <f t="shared" ref="AO10:AO13" si="14">60+33</f>
        <v>93</v>
      </c>
      <c r="AP10" s="15">
        <v>97813.0</v>
      </c>
      <c r="AQ10" s="17">
        <v>650.0</v>
      </c>
      <c r="AR10" s="15">
        <v>20.0</v>
      </c>
      <c r="AS10" s="17">
        <v>180.0</v>
      </c>
      <c r="AT10" s="17">
        <v>5.0</v>
      </c>
      <c r="AU10" s="17">
        <v>284.0</v>
      </c>
      <c r="AV10" s="17">
        <v>0.0</v>
      </c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</row>
    <row r="11" ht="22.5" customHeight="1">
      <c r="A11" s="9" t="s">
        <v>82</v>
      </c>
      <c r="B11" s="9" t="s">
        <v>60</v>
      </c>
      <c r="C11" s="9" t="s">
        <v>83</v>
      </c>
      <c r="D11" s="21" t="s">
        <v>75</v>
      </c>
      <c r="E11" s="10" t="s">
        <v>52</v>
      </c>
      <c r="F11" s="19">
        <v>10.0</v>
      </c>
      <c r="G11" s="19">
        <v>31.0</v>
      </c>
      <c r="H11" s="24">
        <v>46003.0</v>
      </c>
      <c r="I11" s="20">
        <v>0.68125</v>
      </c>
      <c r="J11" s="19">
        <v>186.0</v>
      </c>
      <c r="K11" s="19">
        <v>1130.0</v>
      </c>
      <c r="L11" s="21">
        <v>14.0</v>
      </c>
      <c r="M11" s="21" t="s">
        <v>63</v>
      </c>
      <c r="N11" s="21">
        <v>5.0</v>
      </c>
      <c r="O11" s="19">
        <f t="shared" si="2"/>
        <v>18</v>
      </c>
      <c r="P11" s="21">
        <v>261.0</v>
      </c>
      <c r="Q11" s="9" t="s">
        <v>64</v>
      </c>
      <c r="R11" s="13" t="s">
        <v>55</v>
      </c>
      <c r="S11" s="21" t="s">
        <v>56</v>
      </c>
      <c r="T11" s="22">
        <v>10.0</v>
      </c>
      <c r="U11" s="19">
        <v>10.0</v>
      </c>
      <c r="V11" s="22">
        <v>9.5</v>
      </c>
      <c r="W11" s="19">
        <v>10.0</v>
      </c>
      <c r="X11" s="22">
        <v>9.5</v>
      </c>
      <c r="Y11" s="19">
        <v>10.0</v>
      </c>
      <c r="Z11" s="13">
        <f t="shared" ref="Z11:AA11" si="13">ROUND(0.4*T11 + 0.35*V11 + 0.25*X11, 2)</f>
        <v>9.7</v>
      </c>
      <c r="AA11" s="13">
        <f t="shared" si="13"/>
        <v>10</v>
      </c>
      <c r="AB11" s="21" t="s">
        <v>57</v>
      </c>
      <c r="AC11" s="21" t="s">
        <v>85</v>
      </c>
      <c r="AD11" s="19">
        <v>91.0</v>
      </c>
      <c r="AE11" s="10" t="s">
        <v>59</v>
      </c>
      <c r="AF11" s="19">
        <v>304.0</v>
      </c>
      <c r="AG11" s="9" t="s">
        <v>73</v>
      </c>
      <c r="AH11" s="9" t="s">
        <v>61</v>
      </c>
      <c r="AI11" s="24">
        <v>46008.0</v>
      </c>
      <c r="AJ11" s="21" t="s">
        <v>62</v>
      </c>
      <c r="AK11" s="20">
        <v>0.675</v>
      </c>
      <c r="AL11" s="19">
        <v>4082.0</v>
      </c>
      <c r="AM11" s="19">
        <v>77.0</v>
      </c>
      <c r="AN11" s="19">
        <v>974.0</v>
      </c>
      <c r="AO11" s="19">
        <f t="shared" si="14"/>
        <v>93</v>
      </c>
      <c r="AP11" s="19">
        <v>97813.0</v>
      </c>
      <c r="AQ11" s="21">
        <v>650.0</v>
      </c>
      <c r="AR11" s="19">
        <v>20.0</v>
      </c>
      <c r="AS11" s="21">
        <v>180.0</v>
      </c>
      <c r="AT11" s="21">
        <v>5.0</v>
      </c>
      <c r="AU11" s="21">
        <v>284.0</v>
      </c>
      <c r="AV11" s="21">
        <v>0.0</v>
      </c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</row>
    <row r="12" ht="22.5" customHeight="1">
      <c r="A12" s="3" t="s">
        <v>82</v>
      </c>
      <c r="B12" s="3" t="s">
        <v>65</v>
      </c>
      <c r="C12" s="3" t="s">
        <v>83</v>
      </c>
      <c r="D12" s="17" t="s">
        <v>75</v>
      </c>
      <c r="E12" s="4" t="s">
        <v>52</v>
      </c>
      <c r="F12" s="15">
        <v>3.0</v>
      </c>
      <c r="G12" s="15">
        <v>7.0</v>
      </c>
      <c r="H12" s="23">
        <v>46003.0</v>
      </c>
      <c r="I12" s="16">
        <v>0.6840277777777778</v>
      </c>
      <c r="J12" s="15">
        <v>30.0</v>
      </c>
      <c r="K12" s="15">
        <v>171.0</v>
      </c>
      <c r="L12" s="17">
        <v>1.0</v>
      </c>
      <c r="M12" s="17" t="s">
        <v>80</v>
      </c>
      <c r="N12" s="17">
        <v>2.0</v>
      </c>
      <c r="O12" s="15">
        <f t="shared" si="2"/>
        <v>18</v>
      </c>
      <c r="P12" s="17">
        <v>192.0</v>
      </c>
      <c r="Q12" s="3" t="s">
        <v>66</v>
      </c>
      <c r="R12" s="7" t="s">
        <v>55</v>
      </c>
      <c r="S12" s="17" t="s">
        <v>56</v>
      </c>
      <c r="T12" s="18">
        <v>8.0</v>
      </c>
      <c r="U12" s="15">
        <v>10.0</v>
      </c>
      <c r="V12" s="18">
        <v>9.0</v>
      </c>
      <c r="W12" s="15">
        <v>10.0</v>
      </c>
      <c r="X12" s="18">
        <v>6.5</v>
      </c>
      <c r="Y12" s="15">
        <v>6.0</v>
      </c>
      <c r="Z12" s="7">
        <f t="shared" ref="Z12:AA12" si="15">ROUND(0.4*T12 + 0.35*V12 + 0.25*X12, 2)</f>
        <v>7.98</v>
      </c>
      <c r="AA12" s="7">
        <f t="shared" si="15"/>
        <v>9</v>
      </c>
      <c r="AB12" s="17" t="s">
        <v>57</v>
      </c>
      <c r="AC12" s="17" t="s">
        <v>85</v>
      </c>
      <c r="AD12" s="15">
        <v>91.0</v>
      </c>
      <c r="AE12" s="4" t="s">
        <v>59</v>
      </c>
      <c r="AF12" s="15">
        <v>304.0</v>
      </c>
      <c r="AG12" s="3" t="s">
        <v>73</v>
      </c>
      <c r="AH12" s="3" t="s">
        <v>61</v>
      </c>
      <c r="AI12" s="23">
        <v>46008.0</v>
      </c>
      <c r="AJ12" s="17" t="s">
        <v>62</v>
      </c>
      <c r="AK12" s="16">
        <v>0.675</v>
      </c>
      <c r="AL12" s="15">
        <v>4082.0</v>
      </c>
      <c r="AM12" s="15">
        <v>77.0</v>
      </c>
      <c r="AN12" s="15">
        <v>974.0</v>
      </c>
      <c r="AO12" s="15">
        <f t="shared" si="14"/>
        <v>93</v>
      </c>
      <c r="AP12" s="15">
        <v>97813.0</v>
      </c>
      <c r="AQ12" s="17">
        <v>650.0</v>
      </c>
      <c r="AR12" s="15">
        <v>20.0</v>
      </c>
      <c r="AS12" s="17">
        <v>180.0</v>
      </c>
      <c r="AT12" s="17">
        <v>5.0</v>
      </c>
      <c r="AU12" s="17">
        <v>284.0</v>
      </c>
      <c r="AV12" s="17">
        <v>0.0</v>
      </c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</row>
    <row r="13" ht="22.5" customHeight="1">
      <c r="A13" s="9" t="s">
        <v>82</v>
      </c>
      <c r="B13" s="9" t="s">
        <v>67</v>
      </c>
      <c r="C13" s="9" t="s">
        <v>83</v>
      </c>
      <c r="D13" s="21" t="s">
        <v>75</v>
      </c>
      <c r="E13" s="10" t="s">
        <v>52</v>
      </c>
      <c r="F13" s="19">
        <f>60+14</f>
        <v>74</v>
      </c>
      <c r="G13" s="19">
        <f>120+14</f>
        <v>134</v>
      </c>
      <c r="H13" s="24">
        <v>46003.0</v>
      </c>
      <c r="I13" s="20">
        <v>0.6868055555555556</v>
      </c>
      <c r="J13" s="19">
        <v>1216.0</v>
      </c>
      <c r="K13" s="19">
        <v>9122.0</v>
      </c>
      <c r="L13" s="21">
        <v>24.0</v>
      </c>
      <c r="M13" s="21" t="s">
        <v>86</v>
      </c>
      <c r="N13" s="21">
        <v>24.0</v>
      </c>
      <c r="O13" s="19">
        <f t="shared" si="2"/>
        <v>18</v>
      </c>
      <c r="P13" s="21">
        <v>459.0</v>
      </c>
      <c r="Q13" s="9" t="s">
        <v>69</v>
      </c>
      <c r="R13" s="13" t="s">
        <v>70</v>
      </c>
      <c r="S13" s="21" t="s">
        <v>71</v>
      </c>
      <c r="T13" s="22">
        <v>10.0</v>
      </c>
      <c r="U13" s="19">
        <v>10.0</v>
      </c>
      <c r="V13" s="22">
        <v>10.0</v>
      </c>
      <c r="W13" s="19">
        <v>10.0</v>
      </c>
      <c r="X13" s="22">
        <v>9.7</v>
      </c>
      <c r="Y13" s="19">
        <v>10.0</v>
      </c>
      <c r="Z13" s="13">
        <f t="shared" ref="Z13:AA13" si="16">ROUND(0.4*T13 + 0.35*V13 + 0.25*X13, 2)</f>
        <v>9.93</v>
      </c>
      <c r="AA13" s="13">
        <f t="shared" si="16"/>
        <v>10</v>
      </c>
      <c r="AB13" s="21" t="s">
        <v>57</v>
      </c>
      <c r="AC13" s="21" t="s">
        <v>85</v>
      </c>
      <c r="AD13" s="19">
        <v>91.0</v>
      </c>
      <c r="AE13" s="10" t="s">
        <v>59</v>
      </c>
      <c r="AF13" s="19">
        <v>304.0</v>
      </c>
      <c r="AG13" s="9" t="s">
        <v>73</v>
      </c>
      <c r="AH13" s="9" t="s">
        <v>61</v>
      </c>
      <c r="AI13" s="24">
        <v>46008.0</v>
      </c>
      <c r="AJ13" s="21" t="s">
        <v>62</v>
      </c>
      <c r="AK13" s="20">
        <v>0.675</v>
      </c>
      <c r="AL13" s="19">
        <v>4082.0</v>
      </c>
      <c r="AM13" s="19">
        <v>77.0</v>
      </c>
      <c r="AN13" s="19">
        <v>974.0</v>
      </c>
      <c r="AO13" s="19">
        <f t="shared" si="14"/>
        <v>93</v>
      </c>
      <c r="AP13" s="19">
        <v>97813.0</v>
      </c>
      <c r="AQ13" s="21">
        <v>650.0</v>
      </c>
      <c r="AR13" s="19">
        <v>20.0</v>
      </c>
      <c r="AS13" s="21">
        <v>180.0</v>
      </c>
      <c r="AT13" s="21">
        <v>5.0</v>
      </c>
      <c r="AU13" s="21">
        <v>284.0</v>
      </c>
      <c r="AV13" s="21">
        <v>0.0</v>
      </c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</row>
    <row r="14" ht="22.5" customHeight="1">
      <c r="A14" s="3" t="s">
        <v>87</v>
      </c>
      <c r="B14" s="3" t="s">
        <v>73</v>
      </c>
      <c r="C14" s="3" t="s">
        <v>88</v>
      </c>
      <c r="D14" s="17" t="s">
        <v>75</v>
      </c>
      <c r="E14" s="4" t="s">
        <v>52</v>
      </c>
      <c r="F14" s="15">
        <f>60+3</f>
        <v>63</v>
      </c>
      <c r="G14" s="15">
        <f>60+52</f>
        <v>112</v>
      </c>
      <c r="H14" s="23">
        <v>46006.0</v>
      </c>
      <c r="I14" s="16">
        <v>0.7215277777777778</v>
      </c>
      <c r="J14" s="15">
        <v>534.0</v>
      </c>
      <c r="K14" s="15">
        <v>3385.0</v>
      </c>
      <c r="L14" s="17">
        <v>28.0</v>
      </c>
      <c r="M14" s="17" t="s">
        <v>89</v>
      </c>
      <c r="N14" s="17">
        <v>13.0</v>
      </c>
      <c r="O14" s="15">
        <f t="shared" si="2"/>
        <v>36</v>
      </c>
      <c r="P14" s="17">
        <v>366.0</v>
      </c>
      <c r="Q14" s="3" t="s">
        <v>54</v>
      </c>
      <c r="R14" s="7" t="s">
        <v>55</v>
      </c>
      <c r="S14" s="17" t="s">
        <v>56</v>
      </c>
      <c r="T14" s="18">
        <v>10.0</v>
      </c>
      <c r="U14" s="15">
        <v>9.0</v>
      </c>
      <c r="V14" s="18">
        <v>10.0</v>
      </c>
      <c r="W14" s="15">
        <v>10.0</v>
      </c>
      <c r="X14" s="18">
        <v>10.0</v>
      </c>
      <c r="Y14" s="15">
        <v>8.0</v>
      </c>
      <c r="Z14" s="7">
        <f t="shared" ref="Z14:AA14" si="17">ROUND(0.4*T14 + 0.35*V14 + 0.25*X14, 2)</f>
        <v>10</v>
      </c>
      <c r="AA14" s="7">
        <f t="shared" si="17"/>
        <v>9.1</v>
      </c>
      <c r="AB14" s="17" t="s">
        <v>57</v>
      </c>
      <c r="AC14" s="8" t="s">
        <v>58</v>
      </c>
      <c r="AD14" s="15">
        <v>87.0</v>
      </c>
      <c r="AE14" s="4" t="s">
        <v>59</v>
      </c>
      <c r="AF14" s="15">
        <v>253.0</v>
      </c>
      <c r="AG14" s="3" t="s">
        <v>67</v>
      </c>
      <c r="AH14" s="3" t="s">
        <v>61</v>
      </c>
      <c r="AI14" s="23">
        <v>46011.0</v>
      </c>
      <c r="AJ14" s="17" t="s">
        <v>79</v>
      </c>
      <c r="AK14" s="16">
        <v>0.3368055555555556</v>
      </c>
      <c r="AL14" s="15">
        <v>4205.0</v>
      </c>
      <c r="AM14" s="15">
        <v>79.0</v>
      </c>
      <c r="AN14" s="15">
        <v>979.0</v>
      </c>
      <c r="AO14" s="15">
        <f t="shared" ref="AO14:AO17" si="19">60+43</f>
        <v>103</v>
      </c>
      <c r="AP14" s="15">
        <v>21741.0</v>
      </c>
      <c r="AQ14" s="17">
        <v>45.0</v>
      </c>
      <c r="AR14" s="15">
        <v>3.0</v>
      </c>
      <c r="AS14" s="17">
        <v>392.0</v>
      </c>
      <c r="AT14" s="17">
        <v>11.0</v>
      </c>
      <c r="AU14" s="17">
        <v>425.0</v>
      </c>
      <c r="AV14" s="17">
        <v>0.0</v>
      </c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</row>
    <row r="15" ht="22.5" customHeight="1">
      <c r="A15" s="9" t="s">
        <v>87</v>
      </c>
      <c r="B15" s="9" t="s">
        <v>60</v>
      </c>
      <c r="C15" s="9" t="s">
        <v>88</v>
      </c>
      <c r="D15" s="21" t="s">
        <v>75</v>
      </c>
      <c r="E15" s="10" t="s">
        <v>52</v>
      </c>
      <c r="F15" s="19">
        <v>12.0</v>
      </c>
      <c r="G15" s="19">
        <v>36.0</v>
      </c>
      <c r="H15" s="24">
        <v>46006.0</v>
      </c>
      <c r="I15" s="20">
        <v>0.73125</v>
      </c>
      <c r="J15" s="19">
        <v>158.0</v>
      </c>
      <c r="K15" s="19">
        <v>1001.0</v>
      </c>
      <c r="L15" s="21">
        <v>11.0</v>
      </c>
      <c r="M15" s="21" t="s">
        <v>63</v>
      </c>
      <c r="N15" s="21">
        <v>5.0</v>
      </c>
      <c r="O15" s="19">
        <f t="shared" si="2"/>
        <v>36</v>
      </c>
      <c r="P15" s="21">
        <v>146.0</v>
      </c>
      <c r="Q15" s="9" t="s">
        <v>64</v>
      </c>
      <c r="R15" s="13" t="s">
        <v>55</v>
      </c>
      <c r="S15" s="21" t="s">
        <v>56</v>
      </c>
      <c r="T15" s="22">
        <v>7.0</v>
      </c>
      <c r="U15" s="19">
        <v>7.0</v>
      </c>
      <c r="V15" s="22">
        <v>8.5</v>
      </c>
      <c r="W15" s="19">
        <v>4.0</v>
      </c>
      <c r="X15" s="22">
        <v>6.0</v>
      </c>
      <c r="Y15" s="19">
        <v>4.0</v>
      </c>
      <c r="Z15" s="13">
        <f t="shared" ref="Z15:AA15" si="18">ROUND(0.4*T15 + 0.35*V15 + 0.25*X15, 2)</f>
        <v>7.28</v>
      </c>
      <c r="AA15" s="13">
        <f t="shared" si="18"/>
        <v>5.2</v>
      </c>
      <c r="AB15" s="21" t="s">
        <v>57</v>
      </c>
      <c r="AC15" s="14" t="s">
        <v>58</v>
      </c>
      <c r="AD15" s="19">
        <v>87.0</v>
      </c>
      <c r="AE15" s="10" t="s">
        <v>59</v>
      </c>
      <c r="AF15" s="19">
        <v>253.0</v>
      </c>
      <c r="AG15" s="9" t="s">
        <v>67</v>
      </c>
      <c r="AH15" s="9" t="s">
        <v>61</v>
      </c>
      <c r="AI15" s="24">
        <v>46011.0</v>
      </c>
      <c r="AJ15" s="21" t="s">
        <v>79</v>
      </c>
      <c r="AK15" s="20">
        <v>0.3368055555555556</v>
      </c>
      <c r="AL15" s="19">
        <v>4205.0</v>
      </c>
      <c r="AM15" s="19">
        <v>79.0</v>
      </c>
      <c r="AN15" s="19">
        <v>979.0</v>
      </c>
      <c r="AO15" s="19">
        <f t="shared" si="19"/>
        <v>103</v>
      </c>
      <c r="AP15" s="19">
        <v>21741.0</v>
      </c>
      <c r="AQ15" s="21">
        <v>45.0</v>
      </c>
      <c r="AR15" s="19">
        <v>3.0</v>
      </c>
      <c r="AS15" s="21">
        <v>392.0</v>
      </c>
      <c r="AT15" s="21">
        <v>11.0</v>
      </c>
      <c r="AU15" s="21">
        <v>425.0</v>
      </c>
      <c r="AV15" s="21">
        <v>0.0</v>
      </c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</row>
    <row r="16" ht="22.5" customHeight="1">
      <c r="A16" s="3" t="s">
        <v>87</v>
      </c>
      <c r="B16" s="3" t="s">
        <v>65</v>
      </c>
      <c r="C16" s="3" t="s">
        <v>88</v>
      </c>
      <c r="D16" s="17" t="s">
        <v>75</v>
      </c>
      <c r="E16" s="4" t="s">
        <v>52</v>
      </c>
      <c r="F16" s="15">
        <v>12.0</v>
      </c>
      <c r="G16" s="15">
        <v>16.0</v>
      </c>
      <c r="H16" s="23">
        <v>46006.0</v>
      </c>
      <c r="I16" s="16">
        <v>0.7340277777777777</v>
      </c>
      <c r="J16" s="15">
        <v>84.0</v>
      </c>
      <c r="K16" s="15">
        <v>583.0</v>
      </c>
      <c r="L16" s="17">
        <v>6.0</v>
      </c>
      <c r="M16" s="17" t="s">
        <v>90</v>
      </c>
      <c r="N16" s="17">
        <v>3.0</v>
      </c>
      <c r="O16" s="15">
        <f t="shared" si="2"/>
        <v>36</v>
      </c>
      <c r="P16" s="17">
        <v>108.0</v>
      </c>
      <c r="Q16" s="3" t="s">
        <v>66</v>
      </c>
      <c r="R16" s="7" t="s">
        <v>55</v>
      </c>
      <c r="S16" s="17" t="s">
        <v>56</v>
      </c>
      <c r="T16" s="18">
        <v>10.0</v>
      </c>
      <c r="U16" s="15">
        <v>7.0</v>
      </c>
      <c r="V16" s="18">
        <v>10.0</v>
      </c>
      <c r="W16" s="15">
        <v>9.0</v>
      </c>
      <c r="X16" s="18">
        <v>8.0</v>
      </c>
      <c r="Y16" s="15">
        <v>5.0</v>
      </c>
      <c r="Z16" s="7">
        <f t="shared" ref="Z16:AA16" si="20">ROUND(0.4*T16 + 0.35*V16 + 0.25*X16, 2)</f>
        <v>9.5</v>
      </c>
      <c r="AA16" s="7">
        <f t="shared" si="20"/>
        <v>7.2</v>
      </c>
      <c r="AB16" s="17" t="s">
        <v>57</v>
      </c>
      <c r="AC16" s="8" t="s">
        <v>58</v>
      </c>
      <c r="AD16" s="15">
        <v>87.0</v>
      </c>
      <c r="AE16" s="4" t="s">
        <v>59</v>
      </c>
      <c r="AF16" s="15">
        <v>253.0</v>
      </c>
      <c r="AG16" s="3" t="s">
        <v>67</v>
      </c>
      <c r="AH16" s="3" t="s">
        <v>61</v>
      </c>
      <c r="AI16" s="23">
        <v>46011.0</v>
      </c>
      <c r="AJ16" s="17" t="s">
        <v>79</v>
      </c>
      <c r="AK16" s="16">
        <v>0.3368055555555556</v>
      </c>
      <c r="AL16" s="15">
        <v>4205.0</v>
      </c>
      <c r="AM16" s="15">
        <v>79.0</v>
      </c>
      <c r="AN16" s="15">
        <v>979.0</v>
      </c>
      <c r="AO16" s="15">
        <f t="shared" si="19"/>
        <v>103</v>
      </c>
      <c r="AP16" s="15">
        <v>21741.0</v>
      </c>
      <c r="AQ16" s="17">
        <v>45.0</v>
      </c>
      <c r="AR16" s="15">
        <v>3.0</v>
      </c>
      <c r="AS16" s="17">
        <v>392.0</v>
      </c>
      <c r="AT16" s="17">
        <v>11.0</v>
      </c>
      <c r="AU16" s="17">
        <v>425.0</v>
      </c>
      <c r="AV16" s="17">
        <v>0.0</v>
      </c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</row>
    <row r="17" ht="22.5" customHeight="1">
      <c r="A17" s="9" t="s">
        <v>87</v>
      </c>
      <c r="B17" s="9" t="s">
        <v>67</v>
      </c>
      <c r="C17" s="9" t="s">
        <v>88</v>
      </c>
      <c r="D17" s="21" t="s">
        <v>75</v>
      </c>
      <c r="E17" s="10" t="s">
        <v>52</v>
      </c>
      <c r="F17" s="19">
        <v>22.0</v>
      </c>
      <c r="G17" s="19">
        <f>60+31</f>
        <v>91</v>
      </c>
      <c r="H17" s="24">
        <v>46006.0</v>
      </c>
      <c r="I17" s="20">
        <v>0.7368055555555556</v>
      </c>
      <c r="J17" s="19">
        <v>509.0</v>
      </c>
      <c r="K17" s="19">
        <v>3947.0</v>
      </c>
      <c r="L17" s="21">
        <v>8.0</v>
      </c>
      <c r="M17" s="21" t="s">
        <v>89</v>
      </c>
      <c r="N17" s="21">
        <v>10.0</v>
      </c>
      <c r="O17" s="19">
        <f t="shared" si="2"/>
        <v>36</v>
      </c>
      <c r="P17" s="21">
        <v>479.0</v>
      </c>
      <c r="Q17" s="9" t="s">
        <v>69</v>
      </c>
      <c r="R17" s="13" t="s">
        <v>70</v>
      </c>
      <c r="S17" s="21" t="s">
        <v>71</v>
      </c>
      <c r="T17" s="22">
        <v>10.0</v>
      </c>
      <c r="U17" s="19">
        <v>10.0</v>
      </c>
      <c r="V17" s="22">
        <v>10.0</v>
      </c>
      <c r="W17" s="19">
        <v>10.0</v>
      </c>
      <c r="X17" s="22">
        <v>9.5</v>
      </c>
      <c r="Y17" s="19">
        <v>10.0</v>
      </c>
      <c r="Z17" s="13">
        <f t="shared" ref="Z17:AA17" si="21">ROUND(0.4*T17 + 0.35*V17 + 0.25*X17, 2)</f>
        <v>9.88</v>
      </c>
      <c r="AA17" s="13">
        <f t="shared" si="21"/>
        <v>10</v>
      </c>
      <c r="AB17" s="21" t="s">
        <v>57</v>
      </c>
      <c r="AC17" s="14" t="s">
        <v>58</v>
      </c>
      <c r="AD17" s="19">
        <v>87.0</v>
      </c>
      <c r="AE17" s="10" t="s">
        <v>59</v>
      </c>
      <c r="AF17" s="19">
        <v>253.0</v>
      </c>
      <c r="AG17" s="9" t="s">
        <v>67</v>
      </c>
      <c r="AH17" s="9" t="s">
        <v>61</v>
      </c>
      <c r="AI17" s="24">
        <v>46011.0</v>
      </c>
      <c r="AJ17" s="21" t="s">
        <v>79</v>
      </c>
      <c r="AK17" s="20">
        <v>0.3368055555555556</v>
      </c>
      <c r="AL17" s="19">
        <v>4205.0</v>
      </c>
      <c r="AM17" s="19">
        <v>79.0</v>
      </c>
      <c r="AN17" s="19">
        <v>979.0</v>
      </c>
      <c r="AO17" s="19">
        <f t="shared" si="19"/>
        <v>103</v>
      </c>
      <c r="AP17" s="19">
        <v>21741.0</v>
      </c>
      <c r="AQ17" s="21">
        <v>45.0</v>
      </c>
      <c r="AR17" s="19">
        <v>3.0</v>
      </c>
      <c r="AS17" s="21">
        <v>392.0</v>
      </c>
      <c r="AT17" s="21">
        <v>11.0</v>
      </c>
      <c r="AU17" s="21">
        <v>425.0</v>
      </c>
      <c r="AV17" s="21">
        <v>0.0</v>
      </c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</row>
    <row r="18" ht="22.5" customHeight="1">
      <c r="A18" s="3" t="s">
        <v>91</v>
      </c>
      <c r="B18" s="3" t="s">
        <v>73</v>
      </c>
      <c r="C18" s="3" t="s">
        <v>92</v>
      </c>
      <c r="D18" s="4" t="s">
        <v>51</v>
      </c>
      <c r="E18" s="15" t="s">
        <v>93</v>
      </c>
      <c r="F18" s="15">
        <v>18.0</v>
      </c>
      <c r="G18" s="15">
        <f>(60*3)+53</f>
        <v>233</v>
      </c>
      <c r="H18" s="23">
        <v>46009.0</v>
      </c>
      <c r="I18" s="16">
        <v>0.6201388888888889</v>
      </c>
      <c r="J18" s="15">
        <v>121.0</v>
      </c>
      <c r="K18" s="15">
        <v>766.0</v>
      </c>
      <c r="L18" s="17">
        <v>8.0</v>
      </c>
      <c r="M18" s="17" t="s">
        <v>94</v>
      </c>
      <c r="N18" s="17">
        <v>3.0</v>
      </c>
      <c r="O18" s="15">
        <f t="shared" si="2"/>
        <v>16</v>
      </c>
      <c r="P18" s="17">
        <v>1024.0</v>
      </c>
      <c r="Q18" s="3" t="s">
        <v>54</v>
      </c>
      <c r="R18" s="7" t="s">
        <v>55</v>
      </c>
      <c r="S18" s="17" t="s">
        <v>56</v>
      </c>
      <c r="T18" s="18">
        <v>8.0</v>
      </c>
      <c r="U18" s="25">
        <v>5.0</v>
      </c>
      <c r="V18" s="18">
        <v>3.0</v>
      </c>
      <c r="W18" s="25">
        <v>9.0</v>
      </c>
      <c r="X18" s="18">
        <v>9.0</v>
      </c>
      <c r="Y18" s="25">
        <v>9.0</v>
      </c>
      <c r="Z18" s="7">
        <f t="shared" ref="Z18:AA18" si="22">ROUND(0.4*T18 + 0.35*V18 + 0.25*X18, 2)</f>
        <v>6.5</v>
      </c>
      <c r="AA18" s="7">
        <f t="shared" si="22"/>
        <v>7.4</v>
      </c>
      <c r="AB18" s="17" t="s">
        <v>77</v>
      </c>
      <c r="AC18" s="17" t="s">
        <v>95</v>
      </c>
      <c r="AD18" s="15">
        <v>89.0</v>
      </c>
      <c r="AE18" s="4" t="s">
        <v>59</v>
      </c>
      <c r="AF18" s="15">
        <v>315.0</v>
      </c>
      <c r="AG18" s="3" t="s">
        <v>60</v>
      </c>
      <c r="AH18" s="3" t="s">
        <v>61</v>
      </c>
      <c r="AI18" s="23">
        <v>46015.0</v>
      </c>
      <c r="AJ18" s="17" t="s">
        <v>62</v>
      </c>
      <c r="AK18" s="16">
        <v>0.3451388888888889</v>
      </c>
      <c r="AL18" s="15">
        <v>4262.0</v>
      </c>
      <c r="AM18" s="15">
        <v>81.0</v>
      </c>
      <c r="AN18" s="15">
        <v>985.0</v>
      </c>
      <c r="AO18" s="15">
        <f t="shared" ref="AO18:AO21" si="24">60+53</f>
        <v>113</v>
      </c>
      <c r="AP18" s="15">
        <v>75948.0</v>
      </c>
      <c r="AQ18" s="17">
        <v>432.0</v>
      </c>
      <c r="AR18" s="15">
        <v>31.0</v>
      </c>
      <c r="AS18" s="17">
        <v>384.0</v>
      </c>
      <c r="AT18" s="17">
        <v>16.0</v>
      </c>
      <c r="AU18" s="17">
        <v>9.0</v>
      </c>
      <c r="AV18" s="17">
        <v>0.0</v>
      </c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</row>
    <row r="19" ht="22.5" customHeight="1">
      <c r="A19" s="9" t="s">
        <v>91</v>
      </c>
      <c r="B19" s="9" t="s">
        <v>60</v>
      </c>
      <c r="C19" s="9" t="s">
        <v>92</v>
      </c>
      <c r="D19" s="10" t="s">
        <v>51</v>
      </c>
      <c r="E19" s="19" t="s">
        <v>93</v>
      </c>
      <c r="F19" s="19">
        <v>5.0</v>
      </c>
      <c r="G19" s="19">
        <v>35.0</v>
      </c>
      <c r="H19" s="24">
        <v>46009.0</v>
      </c>
      <c r="I19" s="20">
        <v>0.13055555555555556</v>
      </c>
      <c r="J19" s="19">
        <v>41.0</v>
      </c>
      <c r="K19" s="19">
        <v>258.0</v>
      </c>
      <c r="L19" s="21">
        <v>2.0</v>
      </c>
      <c r="M19" s="21" t="s">
        <v>96</v>
      </c>
      <c r="N19" s="21">
        <v>2.0</v>
      </c>
      <c r="O19" s="19">
        <f t="shared" si="2"/>
        <v>16</v>
      </c>
      <c r="P19" s="21">
        <v>319.0</v>
      </c>
      <c r="Q19" s="9" t="s">
        <v>64</v>
      </c>
      <c r="R19" s="13" t="s">
        <v>55</v>
      </c>
      <c r="S19" s="21" t="s">
        <v>56</v>
      </c>
      <c r="T19" s="22">
        <v>9.0</v>
      </c>
      <c r="U19" s="26">
        <v>7.0</v>
      </c>
      <c r="V19" s="22">
        <v>8.0</v>
      </c>
      <c r="W19" s="26">
        <v>9.0</v>
      </c>
      <c r="X19" s="22">
        <v>7.0</v>
      </c>
      <c r="Y19" s="26">
        <v>5.0</v>
      </c>
      <c r="Z19" s="13">
        <f t="shared" ref="Z19:AA19" si="23">ROUND(0.4*T19 + 0.35*V19 + 0.25*X19, 2)</f>
        <v>8.15</v>
      </c>
      <c r="AA19" s="13">
        <f t="shared" si="23"/>
        <v>7.2</v>
      </c>
      <c r="AB19" s="21" t="s">
        <v>77</v>
      </c>
      <c r="AC19" s="21" t="s">
        <v>95</v>
      </c>
      <c r="AD19" s="19">
        <v>89.0</v>
      </c>
      <c r="AE19" s="10" t="s">
        <v>59</v>
      </c>
      <c r="AF19" s="19">
        <v>315.0</v>
      </c>
      <c r="AG19" s="9" t="s">
        <v>60</v>
      </c>
      <c r="AH19" s="9" t="s">
        <v>61</v>
      </c>
      <c r="AI19" s="24">
        <v>46015.0</v>
      </c>
      <c r="AJ19" s="21" t="s">
        <v>62</v>
      </c>
      <c r="AK19" s="20">
        <v>0.3451388888888889</v>
      </c>
      <c r="AL19" s="19">
        <v>4262.0</v>
      </c>
      <c r="AM19" s="19">
        <v>81.0</v>
      </c>
      <c r="AN19" s="19">
        <v>985.0</v>
      </c>
      <c r="AO19" s="19">
        <f t="shared" si="24"/>
        <v>113</v>
      </c>
      <c r="AP19" s="19">
        <v>75948.0</v>
      </c>
      <c r="AQ19" s="21">
        <v>432.0</v>
      </c>
      <c r="AR19" s="19">
        <v>31.0</v>
      </c>
      <c r="AS19" s="21">
        <v>384.0</v>
      </c>
      <c r="AT19" s="21">
        <v>16.0</v>
      </c>
      <c r="AU19" s="21">
        <v>9.0</v>
      </c>
      <c r="AV19" s="21">
        <v>0.0</v>
      </c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</row>
    <row r="20" ht="22.5" customHeight="1">
      <c r="A20" s="3" t="s">
        <v>91</v>
      </c>
      <c r="B20" s="3" t="s">
        <v>65</v>
      </c>
      <c r="C20" s="3" t="s">
        <v>92</v>
      </c>
      <c r="D20" s="4" t="s">
        <v>51</v>
      </c>
      <c r="E20" s="15" t="s">
        <v>93</v>
      </c>
      <c r="F20" s="15">
        <v>4.0</v>
      </c>
      <c r="G20" s="15">
        <v>11.0</v>
      </c>
      <c r="H20" s="23">
        <v>46009.0</v>
      </c>
      <c r="I20" s="16">
        <v>0.6444444444444445</v>
      </c>
      <c r="J20" s="15">
        <v>50.0</v>
      </c>
      <c r="K20" s="15">
        <v>318.0</v>
      </c>
      <c r="L20" s="17">
        <v>3.0</v>
      </c>
      <c r="M20" s="17" t="s">
        <v>80</v>
      </c>
      <c r="N20" s="17">
        <v>2.0</v>
      </c>
      <c r="O20" s="15">
        <f t="shared" si="2"/>
        <v>16</v>
      </c>
      <c r="P20" s="17">
        <v>191.0</v>
      </c>
      <c r="Q20" s="3" t="s">
        <v>66</v>
      </c>
      <c r="R20" s="7" t="s">
        <v>55</v>
      </c>
      <c r="S20" s="17" t="s">
        <v>56</v>
      </c>
      <c r="T20" s="18">
        <v>7.0</v>
      </c>
      <c r="U20" s="25">
        <v>3.0</v>
      </c>
      <c r="V20" s="18">
        <v>8.0</v>
      </c>
      <c r="W20" s="25">
        <v>7.0</v>
      </c>
      <c r="X20" s="18">
        <v>6.5</v>
      </c>
      <c r="Y20" s="25">
        <v>3.0</v>
      </c>
      <c r="Z20" s="7">
        <f t="shared" ref="Z20:AA20" si="25">ROUND(0.4*T20 + 0.35*V20 + 0.25*X20, 2)</f>
        <v>7.23</v>
      </c>
      <c r="AA20" s="7">
        <f t="shared" si="25"/>
        <v>4.4</v>
      </c>
      <c r="AB20" s="17" t="s">
        <v>77</v>
      </c>
      <c r="AC20" s="17" t="s">
        <v>95</v>
      </c>
      <c r="AD20" s="15">
        <v>89.0</v>
      </c>
      <c r="AE20" s="4" t="s">
        <v>59</v>
      </c>
      <c r="AF20" s="15">
        <v>315.0</v>
      </c>
      <c r="AG20" s="3" t="s">
        <v>60</v>
      </c>
      <c r="AH20" s="3" t="s">
        <v>61</v>
      </c>
      <c r="AI20" s="23">
        <v>46015.0</v>
      </c>
      <c r="AJ20" s="17" t="s">
        <v>62</v>
      </c>
      <c r="AK20" s="16">
        <v>0.3451388888888889</v>
      </c>
      <c r="AL20" s="15">
        <v>4262.0</v>
      </c>
      <c r="AM20" s="15">
        <v>81.0</v>
      </c>
      <c r="AN20" s="15">
        <v>985.0</v>
      </c>
      <c r="AO20" s="15">
        <f t="shared" si="24"/>
        <v>113</v>
      </c>
      <c r="AP20" s="15">
        <v>75948.0</v>
      </c>
      <c r="AQ20" s="17">
        <v>432.0</v>
      </c>
      <c r="AR20" s="15">
        <v>31.0</v>
      </c>
      <c r="AS20" s="17">
        <v>384.0</v>
      </c>
      <c r="AT20" s="17">
        <v>16.0</v>
      </c>
      <c r="AU20" s="17">
        <v>9.0</v>
      </c>
      <c r="AV20" s="17">
        <v>0.0</v>
      </c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</row>
    <row r="21" ht="22.5" customHeight="1">
      <c r="A21" s="9" t="s">
        <v>91</v>
      </c>
      <c r="B21" s="9" t="s">
        <v>67</v>
      </c>
      <c r="C21" s="9" t="s">
        <v>92</v>
      </c>
      <c r="D21" s="10" t="s">
        <v>51</v>
      </c>
      <c r="E21" s="19" t="s">
        <v>93</v>
      </c>
      <c r="F21" s="19">
        <v>12.0</v>
      </c>
      <c r="G21" s="19">
        <f>(60*3)+8</f>
        <v>188</v>
      </c>
      <c r="H21" s="24">
        <v>46009.0</v>
      </c>
      <c r="I21" s="20">
        <v>0.6604166666666667</v>
      </c>
      <c r="J21" s="19">
        <v>219.0</v>
      </c>
      <c r="K21" s="19">
        <v>1612.0</v>
      </c>
      <c r="L21" s="21">
        <v>3.0</v>
      </c>
      <c r="M21" s="21" t="s">
        <v>53</v>
      </c>
      <c r="N21" s="21">
        <v>8.0</v>
      </c>
      <c r="O21" s="19">
        <f t="shared" si="2"/>
        <v>16</v>
      </c>
      <c r="P21" s="21">
        <v>1134.0</v>
      </c>
      <c r="Q21" s="9" t="s">
        <v>69</v>
      </c>
      <c r="R21" s="13" t="s">
        <v>70</v>
      </c>
      <c r="S21" s="21" t="s">
        <v>71</v>
      </c>
      <c r="T21" s="22">
        <v>10.0</v>
      </c>
      <c r="U21" s="26">
        <v>10.0</v>
      </c>
      <c r="V21" s="22">
        <v>9.0</v>
      </c>
      <c r="W21" s="26">
        <v>10.0</v>
      </c>
      <c r="X21" s="22">
        <v>10.0</v>
      </c>
      <c r="Y21" s="26">
        <v>9.0</v>
      </c>
      <c r="Z21" s="13">
        <f t="shared" ref="Z21:AA21" si="26">ROUND(0.4*T21 + 0.35*V21 + 0.25*X21, 2)</f>
        <v>9.65</v>
      </c>
      <c r="AA21" s="13">
        <f t="shared" si="26"/>
        <v>9.75</v>
      </c>
      <c r="AB21" s="21" t="s">
        <v>77</v>
      </c>
      <c r="AC21" s="21" t="s">
        <v>95</v>
      </c>
      <c r="AD21" s="19">
        <v>89.0</v>
      </c>
      <c r="AE21" s="10" t="s">
        <v>59</v>
      </c>
      <c r="AF21" s="19">
        <v>315.0</v>
      </c>
      <c r="AG21" s="9" t="s">
        <v>60</v>
      </c>
      <c r="AH21" s="9" t="s">
        <v>61</v>
      </c>
      <c r="AI21" s="24">
        <v>46015.0</v>
      </c>
      <c r="AJ21" s="21" t="s">
        <v>62</v>
      </c>
      <c r="AK21" s="20">
        <v>0.3451388888888889</v>
      </c>
      <c r="AL21" s="19">
        <v>4262.0</v>
      </c>
      <c r="AM21" s="19">
        <v>81.0</v>
      </c>
      <c r="AN21" s="19">
        <v>985.0</v>
      </c>
      <c r="AO21" s="19">
        <f t="shared" si="24"/>
        <v>113</v>
      </c>
      <c r="AP21" s="19">
        <v>75948.0</v>
      </c>
      <c r="AQ21" s="21">
        <v>432.0</v>
      </c>
      <c r="AR21" s="19">
        <v>31.0</v>
      </c>
      <c r="AS21" s="21">
        <v>384.0</v>
      </c>
      <c r="AT21" s="21">
        <v>16.0</v>
      </c>
      <c r="AU21" s="21">
        <v>9.0</v>
      </c>
      <c r="AV21" s="21">
        <v>0.0</v>
      </c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</row>
    <row r="22" ht="22.5" customHeight="1">
      <c r="A22" s="3" t="s">
        <v>97</v>
      </c>
      <c r="B22" s="3" t="s">
        <v>73</v>
      </c>
      <c r="C22" s="3" t="s">
        <v>98</v>
      </c>
      <c r="D22" s="17" t="s">
        <v>75</v>
      </c>
      <c r="E22" s="27" t="s">
        <v>52</v>
      </c>
      <c r="F22" s="27">
        <v>22.0</v>
      </c>
      <c r="G22" s="27">
        <v>129.0</v>
      </c>
      <c r="H22" s="28">
        <v>46013.0</v>
      </c>
      <c r="I22" s="29">
        <v>0.7534722222222222</v>
      </c>
      <c r="J22" s="30">
        <v>205.0</v>
      </c>
      <c r="K22" s="30">
        <v>1299.0</v>
      </c>
      <c r="L22" s="31">
        <v>13.0</v>
      </c>
      <c r="M22" s="31" t="s">
        <v>99</v>
      </c>
      <c r="N22" s="31">
        <v>7.0</v>
      </c>
      <c r="O22" s="15">
        <f t="shared" si="2"/>
        <v>26</v>
      </c>
      <c r="P22" s="17">
        <v>618.0</v>
      </c>
      <c r="Q22" s="3" t="s">
        <v>54</v>
      </c>
      <c r="R22" s="7" t="s">
        <v>55</v>
      </c>
      <c r="S22" s="17" t="s">
        <v>56</v>
      </c>
      <c r="T22" s="18">
        <v>9.5</v>
      </c>
      <c r="U22" s="15">
        <v>10.0</v>
      </c>
      <c r="V22" s="18">
        <v>9.5</v>
      </c>
      <c r="W22" s="15">
        <v>9.0</v>
      </c>
      <c r="X22" s="18">
        <v>10.0</v>
      </c>
      <c r="Y22" s="15">
        <v>10.0</v>
      </c>
      <c r="Z22" s="7">
        <f t="shared" ref="Z22:AA22" si="27">ROUND(0.4*T22 + 0.35*V22 + 0.25*X22, 2)</f>
        <v>9.63</v>
      </c>
      <c r="AA22" s="7">
        <f t="shared" si="27"/>
        <v>9.65</v>
      </c>
      <c r="AB22" s="17" t="s">
        <v>57</v>
      </c>
      <c r="AC22" s="17" t="s">
        <v>100</v>
      </c>
      <c r="AD22" s="15">
        <v>91.0</v>
      </c>
      <c r="AE22" s="4" t="s">
        <v>59</v>
      </c>
      <c r="AF22" s="15">
        <v>262.0</v>
      </c>
      <c r="AG22" s="3" t="s">
        <v>67</v>
      </c>
      <c r="AH22" s="17">
        <v>5.0</v>
      </c>
      <c r="AI22" s="23">
        <v>46018.0</v>
      </c>
      <c r="AJ22" s="17" t="s">
        <v>79</v>
      </c>
      <c r="AK22" s="32">
        <v>0.35625</v>
      </c>
      <c r="AL22" s="15">
        <v>4342.0</v>
      </c>
      <c r="AM22" s="15">
        <v>81.0</v>
      </c>
      <c r="AN22" s="15">
        <v>990.0</v>
      </c>
      <c r="AO22" s="15">
        <f t="shared" ref="AO22:AO25" si="29">60+19</f>
        <v>79</v>
      </c>
      <c r="AP22" s="15">
        <v>164249.0</v>
      </c>
      <c r="AQ22" s="17">
        <v>888.0</v>
      </c>
      <c r="AR22" s="15">
        <v>31.0</v>
      </c>
      <c r="AS22" s="17">
        <v>636.0</v>
      </c>
      <c r="AT22" s="17">
        <v>16.0</v>
      </c>
      <c r="AU22" s="17">
        <v>2.0</v>
      </c>
      <c r="AV22" s="17">
        <v>0.0</v>
      </c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</row>
    <row r="23" ht="22.5" customHeight="1">
      <c r="A23" s="9" t="s">
        <v>97</v>
      </c>
      <c r="B23" s="9" t="s">
        <v>60</v>
      </c>
      <c r="C23" s="9" t="s">
        <v>98</v>
      </c>
      <c r="D23" s="21" t="s">
        <v>75</v>
      </c>
      <c r="E23" s="33" t="s">
        <v>52</v>
      </c>
      <c r="F23" s="33">
        <v>10.0</v>
      </c>
      <c r="G23" s="33">
        <v>36.0</v>
      </c>
      <c r="H23" s="34">
        <v>46013.0</v>
      </c>
      <c r="I23" s="35">
        <v>0.7555555555555555</v>
      </c>
      <c r="J23" s="36">
        <v>203.0</v>
      </c>
      <c r="K23" s="36">
        <v>1281.0</v>
      </c>
      <c r="L23" s="37">
        <v>14.0</v>
      </c>
      <c r="M23" s="37" t="s">
        <v>101</v>
      </c>
      <c r="N23" s="37">
        <v>9.0</v>
      </c>
      <c r="O23" s="19">
        <f t="shared" si="2"/>
        <v>26</v>
      </c>
      <c r="P23" s="21">
        <v>332.0</v>
      </c>
      <c r="Q23" s="9" t="s">
        <v>64</v>
      </c>
      <c r="R23" s="13" t="s">
        <v>55</v>
      </c>
      <c r="S23" s="21" t="s">
        <v>56</v>
      </c>
      <c r="T23" s="22">
        <v>9.0</v>
      </c>
      <c r="U23" s="19">
        <v>10.0</v>
      </c>
      <c r="V23" s="22">
        <v>9.0</v>
      </c>
      <c r="W23" s="19">
        <v>9.0</v>
      </c>
      <c r="X23" s="22">
        <v>9.0</v>
      </c>
      <c r="Y23" s="19">
        <v>8.0</v>
      </c>
      <c r="Z23" s="13">
        <f t="shared" ref="Z23:AA23" si="28">ROUND(0.4*T23 + 0.35*V23 + 0.25*X23, 2)</f>
        <v>9</v>
      </c>
      <c r="AA23" s="13">
        <f t="shared" si="28"/>
        <v>9.15</v>
      </c>
      <c r="AB23" s="21" t="s">
        <v>57</v>
      </c>
      <c r="AC23" s="21" t="s">
        <v>100</v>
      </c>
      <c r="AD23" s="19">
        <v>91.0</v>
      </c>
      <c r="AE23" s="10" t="s">
        <v>59</v>
      </c>
      <c r="AF23" s="19">
        <v>262.0</v>
      </c>
      <c r="AG23" s="9" t="s">
        <v>67</v>
      </c>
      <c r="AH23" s="21">
        <v>5.0</v>
      </c>
      <c r="AI23" s="24">
        <v>46018.0</v>
      </c>
      <c r="AJ23" s="21" t="s">
        <v>79</v>
      </c>
      <c r="AK23" s="38">
        <v>0.35625</v>
      </c>
      <c r="AL23" s="19">
        <v>4342.0</v>
      </c>
      <c r="AM23" s="19">
        <v>81.0</v>
      </c>
      <c r="AN23" s="19">
        <v>990.0</v>
      </c>
      <c r="AO23" s="19">
        <f t="shared" si="29"/>
        <v>79</v>
      </c>
      <c r="AP23" s="19">
        <v>164249.0</v>
      </c>
      <c r="AQ23" s="21">
        <v>888.0</v>
      </c>
      <c r="AR23" s="19">
        <v>31.0</v>
      </c>
      <c r="AS23" s="21">
        <v>636.0</v>
      </c>
      <c r="AT23" s="21">
        <v>16.0</v>
      </c>
      <c r="AU23" s="21">
        <v>2.0</v>
      </c>
      <c r="AV23" s="21">
        <v>0.0</v>
      </c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</row>
    <row r="24" ht="22.5" customHeight="1">
      <c r="A24" s="3" t="s">
        <v>97</v>
      </c>
      <c r="B24" s="3" t="s">
        <v>65</v>
      </c>
      <c r="C24" s="3" t="s">
        <v>98</v>
      </c>
      <c r="D24" s="17" t="s">
        <v>75</v>
      </c>
      <c r="E24" s="27" t="s">
        <v>52</v>
      </c>
      <c r="F24" s="27">
        <v>6.0</v>
      </c>
      <c r="G24" s="27">
        <v>10.0</v>
      </c>
      <c r="H24" s="28">
        <v>46013.0</v>
      </c>
      <c r="I24" s="29">
        <v>0.7569444444444444</v>
      </c>
      <c r="J24" s="30">
        <v>63.0</v>
      </c>
      <c r="K24" s="30">
        <v>426.0</v>
      </c>
      <c r="L24" s="31">
        <v>4.0</v>
      </c>
      <c r="M24" s="31" t="s">
        <v>102</v>
      </c>
      <c r="N24" s="31">
        <v>3.0</v>
      </c>
      <c r="O24" s="15">
        <f t="shared" si="2"/>
        <v>26</v>
      </c>
      <c r="P24" s="17">
        <v>188.0</v>
      </c>
      <c r="Q24" s="3" t="s">
        <v>66</v>
      </c>
      <c r="R24" s="7" t="s">
        <v>55</v>
      </c>
      <c r="S24" s="17" t="s">
        <v>56</v>
      </c>
      <c r="T24" s="18">
        <v>3.0</v>
      </c>
      <c r="U24" s="15">
        <v>3.0</v>
      </c>
      <c r="V24" s="18">
        <v>3.0</v>
      </c>
      <c r="W24" s="15">
        <v>2.0</v>
      </c>
      <c r="X24" s="18">
        <v>2.0</v>
      </c>
      <c r="Y24" s="15">
        <v>3.0</v>
      </c>
      <c r="Z24" s="7">
        <f t="shared" ref="Z24:AA24" si="30">ROUND(0.4*T24 + 0.35*V24 + 0.25*X24, 2)</f>
        <v>2.75</v>
      </c>
      <c r="AA24" s="7">
        <f t="shared" si="30"/>
        <v>2.65</v>
      </c>
      <c r="AB24" s="17" t="s">
        <v>57</v>
      </c>
      <c r="AC24" s="17" t="s">
        <v>100</v>
      </c>
      <c r="AD24" s="15">
        <v>91.0</v>
      </c>
      <c r="AE24" s="4" t="s">
        <v>59</v>
      </c>
      <c r="AF24" s="15">
        <v>262.0</v>
      </c>
      <c r="AG24" s="3" t="s">
        <v>67</v>
      </c>
      <c r="AH24" s="17">
        <v>5.0</v>
      </c>
      <c r="AI24" s="23">
        <v>46018.0</v>
      </c>
      <c r="AJ24" s="17" t="s">
        <v>79</v>
      </c>
      <c r="AK24" s="32">
        <v>0.35625</v>
      </c>
      <c r="AL24" s="15">
        <v>4342.0</v>
      </c>
      <c r="AM24" s="15">
        <v>81.0</v>
      </c>
      <c r="AN24" s="15">
        <v>990.0</v>
      </c>
      <c r="AO24" s="15">
        <f t="shared" si="29"/>
        <v>79</v>
      </c>
      <c r="AP24" s="15">
        <v>164249.0</v>
      </c>
      <c r="AQ24" s="17">
        <v>888.0</v>
      </c>
      <c r="AR24" s="15">
        <v>31.0</v>
      </c>
      <c r="AS24" s="17">
        <v>636.0</v>
      </c>
      <c r="AT24" s="17">
        <v>16.0</v>
      </c>
      <c r="AU24" s="17">
        <v>2.0</v>
      </c>
      <c r="AV24" s="17">
        <v>0.0</v>
      </c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</row>
    <row r="25" ht="22.5" customHeight="1">
      <c r="A25" s="9" t="s">
        <v>97</v>
      </c>
      <c r="B25" s="9" t="s">
        <v>67</v>
      </c>
      <c r="C25" s="9" t="s">
        <v>98</v>
      </c>
      <c r="D25" s="21" t="s">
        <v>75</v>
      </c>
      <c r="E25" s="33" t="s">
        <v>52</v>
      </c>
      <c r="F25" s="33">
        <v>72.0</v>
      </c>
      <c r="G25" s="33">
        <v>184.0</v>
      </c>
      <c r="H25" s="34">
        <v>46013.0</v>
      </c>
      <c r="I25" s="35">
        <v>0.7569444444444444</v>
      </c>
      <c r="J25" s="36">
        <v>1353.0</v>
      </c>
      <c r="K25" s="36">
        <v>13922.0</v>
      </c>
      <c r="L25" s="37">
        <v>16.0</v>
      </c>
      <c r="M25" s="39">
        <v>0.5</v>
      </c>
      <c r="N25" s="37">
        <v>23.0</v>
      </c>
      <c r="O25" s="19">
        <f t="shared" si="2"/>
        <v>26</v>
      </c>
      <c r="P25" s="21">
        <v>820.0</v>
      </c>
      <c r="Q25" s="9" t="s">
        <v>69</v>
      </c>
      <c r="R25" s="13" t="s">
        <v>70</v>
      </c>
      <c r="S25" s="21" t="s">
        <v>71</v>
      </c>
      <c r="T25" s="22">
        <v>7.0</v>
      </c>
      <c r="U25" s="19">
        <v>4.0</v>
      </c>
      <c r="V25" s="22">
        <v>7.0</v>
      </c>
      <c r="W25" s="19">
        <v>5.0</v>
      </c>
      <c r="X25" s="22">
        <v>8.5</v>
      </c>
      <c r="Y25" s="19">
        <v>7.0</v>
      </c>
      <c r="Z25" s="13">
        <f t="shared" ref="Z25:AA25" si="31">ROUND(0.4*T25 + 0.35*V25 + 0.25*X25, 2)</f>
        <v>7.38</v>
      </c>
      <c r="AA25" s="13">
        <f t="shared" si="31"/>
        <v>5.1</v>
      </c>
      <c r="AB25" s="21" t="s">
        <v>57</v>
      </c>
      <c r="AC25" s="21" t="s">
        <v>100</v>
      </c>
      <c r="AD25" s="19">
        <v>91.0</v>
      </c>
      <c r="AE25" s="10" t="s">
        <v>59</v>
      </c>
      <c r="AF25" s="19">
        <v>262.0</v>
      </c>
      <c r="AG25" s="9" t="s">
        <v>67</v>
      </c>
      <c r="AH25" s="21">
        <v>5.0</v>
      </c>
      <c r="AI25" s="24">
        <v>46018.0</v>
      </c>
      <c r="AJ25" s="21" t="s">
        <v>79</v>
      </c>
      <c r="AK25" s="38">
        <v>0.35625</v>
      </c>
      <c r="AL25" s="19">
        <v>4342.0</v>
      </c>
      <c r="AM25" s="19">
        <v>81.0</v>
      </c>
      <c r="AN25" s="19">
        <v>990.0</v>
      </c>
      <c r="AO25" s="19">
        <f t="shared" si="29"/>
        <v>79</v>
      </c>
      <c r="AP25" s="19">
        <v>164249.0</v>
      </c>
      <c r="AQ25" s="21">
        <v>888.0</v>
      </c>
      <c r="AR25" s="19">
        <v>31.0</v>
      </c>
      <c r="AS25" s="21">
        <v>636.0</v>
      </c>
      <c r="AT25" s="21">
        <v>16.0</v>
      </c>
      <c r="AU25" s="21">
        <v>2.0</v>
      </c>
      <c r="AV25" s="21">
        <v>0.0</v>
      </c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</row>
    <row r="26" ht="22.5" customHeight="1">
      <c r="A26" s="3" t="s">
        <v>103</v>
      </c>
      <c r="B26" s="3" t="s">
        <v>73</v>
      </c>
      <c r="C26" s="3" t="s">
        <v>104</v>
      </c>
      <c r="D26" s="3" t="s">
        <v>75</v>
      </c>
      <c r="E26" s="27" t="s">
        <v>52</v>
      </c>
      <c r="F26" s="27">
        <v>36.0</v>
      </c>
      <c r="G26" s="40">
        <v>180.0</v>
      </c>
      <c r="H26" s="41">
        <v>46019.0</v>
      </c>
      <c r="I26" s="42">
        <v>0.5486111111111112</v>
      </c>
      <c r="J26" s="31">
        <v>259.0</v>
      </c>
      <c r="K26" s="30">
        <v>1698.0</v>
      </c>
      <c r="L26" s="31">
        <v>14.0</v>
      </c>
      <c r="M26" s="31" t="s">
        <v>105</v>
      </c>
      <c r="N26" s="31">
        <v>11.0</v>
      </c>
      <c r="O26" s="15">
        <f t="shared" si="2"/>
        <v>55</v>
      </c>
      <c r="P26" s="17">
        <v>758.0</v>
      </c>
      <c r="Q26" s="3" t="s">
        <v>54</v>
      </c>
      <c r="R26" s="7" t="s">
        <v>55</v>
      </c>
      <c r="S26" s="17" t="s">
        <v>56</v>
      </c>
      <c r="T26" s="18">
        <v>9.5</v>
      </c>
      <c r="U26" s="15">
        <v>10.0</v>
      </c>
      <c r="V26" s="18">
        <v>9.5</v>
      </c>
      <c r="W26" s="15">
        <v>10.0</v>
      </c>
      <c r="X26" s="18">
        <v>9.5</v>
      </c>
      <c r="Y26" s="15">
        <v>10.0</v>
      </c>
      <c r="Z26" s="7">
        <f t="shared" ref="Z26:AA26" si="32">ROUND(0.4*T26 + 0.35*V26 + 0.25*X26, 2)</f>
        <v>9.5</v>
      </c>
      <c r="AA26" s="7">
        <f t="shared" si="32"/>
        <v>10</v>
      </c>
      <c r="AB26" s="17" t="s">
        <v>57</v>
      </c>
      <c r="AC26" s="17" t="s">
        <v>106</v>
      </c>
      <c r="AD26" s="15">
        <v>101.0</v>
      </c>
      <c r="AE26" s="4" t="s">
        <v>59</v>
      </c>
      <c r="AF26" s="15">
        <v>248.0</v>
      </c>
      <c r="AG26" s="3" t="s">
        <v>73</v>
      </c>
      <c r="AH26" s="17">
        <v>5.0</v>
      </c>
      <c r="AI26" s="23">
        <v>46022.0</v>
      </c>
      <c r="AJ26" s="17" t="s">
        <v>62</v>
      </c>
      <c r="AK26" s="16">
        <v>0.3090277777777778</v>
      </c>
      <c r="AL26" s="15">
        <v>4519.0</v>
      </c>
      <c r="AM26" s="15">
        <v>80.0</v>
      </c>
      <c r="AN26" s="15">
        <v>992.0</v>
      </c>
      <c r="AO26" s="15">
        <f t="shared" ref="AO26:AO29" si="34">60+14</f>
        <v>74</v>
      </c>
      <c r="AP26" s="15">
        <v>30701.0</v>
      </c>
      <c r="AQ26" s="17">
        <v>259.0</v>
      </c>
      <c r="AR26" s="15">
        <v>5.0</v>
      </c>
      <c r="AS26" s="17">
        <v>209.0</v>
      </c>
      <c r="AT26" s="17">
        <v>5.0</v>
      </c>
      <c r="AU26" s="17">
        <v>5.0</v>
      </c>
      <c r="AV26" s="17">
        <v>0.0</v>
      </c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</row>
    <row r="27" ht="22.5" customHeight="1">
      <c r="A27" s="9" t="s">
        <v>103</v>
      </c>
      <c r="B27" s="9" t="s">
        <v>60</v>
      </c>
      <c r="C27" s="9" t="s">
        <v>104</v>
      </c>
      <c r="D27" s="9" t="s">
        <v>75</v>
      </c>
      <c r="E27" s="33" t="s">
        <v>52</v>
      </c>
      <c r="F27" s="43">
        <v>19.0</v>
      </c>
      <c r="G27" s="43">
        <v>48.0</v>
      </c>
      <c r="H27" s="44">
        <v>46019.0</v>
      </c>
      <c r="I27" s="45">
        <v>0.5506944444444445</v>
      </c>
      <c r="J27" s="37">
        <v>435.0</v>
      </c>
      <c r="K27" s="36">
        <v>2813.0</v>
      </c>
      <c r="L27" s="37">
        <v>31.0</v>
      </c>
      <c r="M27" s="37" t="s">
        <v>101</v>
      </c>
      <c r="N27" s="37">
        <v>10.0</v>
      </c>
      <c r="O27" s="19">
        <f t="shared" si="2"/>
        <v>55</v>
      </c>
      <c r="P27" s="21">
        <v>380.0</v>
      </c>
      <c r="Q27" s="9" t="s">
        <v>64</v>
      </c>
      <c r="R27" s="13" t="s">
        <v>55</v>
      </c>
      <c r="S27" s="21" t="s">
        <v>56</v>
      </c>
      <c r="T27" s="22">
        <v>8.0</v>
      </c>
      <c r="U27" s="19">
        <v>10.0</v>
      </c>
      <c r="V27" s="22">
        <v>8.0</v>
      </c>
      <c r="W27" s="19">
        <v>10.0</v>
      </c>
      <c r="X27" s="22">
        <v>8.5</v>
      </c>
      <c r="Y27" s="19">
        <v>9.0</v>
      </c>
      <c r="Z27" s="13">
        <f t="shared" ref="Z27:AA27" si="33">ROUND(0.4*T27 + 0.35*V27 + 0.25*X27, 2)</f>
        <v>8.13</v>
      </c>
      <c r="AA27" s="13">
        <f t="shared" si="33"/>
        <v>9.75</v>
      </c>
      <c r="AB27" s="21" t="s">
        <v>57</v>
      </c>
      <c r="AC27" s="21" t="s">
        <v>106</v>
      </c>
      <c r="AD27" s="19">
        <v>101.0</v>
      </c>
      <c r="AE27" s="10" t="s">
        <v>59</v>
      </c>
      <c r="AF27" s="19">
        <v>248.0</v>
      </c>
      <c r="AG27" s="9" t="s">
        <v>73</v>
      </c>
      <c r="AH27" s="21">
        <v>5.0</v>
      </c>
      <c r="AI27" s="24">
        <v>46022.0</v>
      </c>
      <c r="AJ27" s="21" t="s">
        <v>62</v>
      </c>
      <c r="AK27" s="20">
        <v>0.3090277777777778</v>
      </c>
      <c r="AL27" s="19">
        <v>4519.0</v>
      </c>
      <c r="AM27" s="19">
        <v>80.0</v>
      </c>
      <c r="AN27" s="19">
        <v>992.0</v>
      </c>
      <c r="AO27" s="19">
        <f t="shared" si="34"/>
        <v>74</v>
      </c>
      <c r="AP27" s="19">
        <v>30701.0</v>
      </c>
      <c r="AQ27" s="21">
        <v>259.0</v>
      </c>
      <c r="AR27" s="19">
        <v>5.0</v>
      </c>
      <c r="AS27" s="21">
        <v>209.0</v>
      </c>
      <c r="AT27" s="21">
        <v>5.0</v>
      </c>
      <c r="AU27" s="21">
        <v>5.0</v>
      </c>
      <c r="AV27" s="21">
        <v>0.0</v>
      </c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</row>
    <row r="28" ht="22.5" customHeight="1">
      <c r="A28" s="3" t="s">
        <v>103</v>
      </c>
      <c r="B28" s="3" t="s">
        <v>65</v>
      </c>
      <c r="C28" s="3" t="s">
        <v>104</v>
      </c>
      <c r="D28" s="3" t="s">
        <v>75</v>
      </c>
      <c r="E28" s="27" t="s">
        <v>52</v>
      </c>
      <c r="F28" s="40">
        <f>120+50</f>
        <v>170</v>
      </c>
      <c r="G28" s="40">
        <v>224.0</v>
      </c>
      <c r="H28" s="41">
        <v>46019.0</v>
      </c>
      <c r="I28" s="42">
        <v>0.5513888888888889</v>
      </c>
      <c r="J28" s="31">
        <v>301.0</v>
      </c>
      <c r="K28" s="30">
        <v>2031.0</v>
      </c>
      <c r="L28" s="31">
        <v>27.0</v>
      </c>
      <c r="M28" s="31" t="s">
        <v>107</v>
      </c>
      <c r="N28" s="31">
        <v>8.0</v>
      </c>
      <c r="O28" s="15">
        <f t="shared" si="2"/>
        <v>55</v>
      </c>
      <c r="P28" s="17">
        <v>241.0</v>
      </c>
      <c r="Q28" s="3" t="s">
        <v>66</v>
      </c>
      <c r="R28" s="7" t="s">
        <v>55</v>
      </c>
      <c r="S28" s="17" t="s">
        <v>56</v>
      </c>
      <c r="T28" s="18">
        <v>6.0</v>
      </c>
      <c r="U28" s="15">
        <v>4.0</v>
      </c>
      <c r="V28" s="18">
        <v>7.0</v>
      </c>
      <c r="W28" s="15">
        <v>6.0</v>
      </c>
      <c r="X28" s="18">
        <v>7.0</v>
      </c>
      <c r="Y28" s="15">
        <v>5.0</v>
      </c>
      <c r="Z28" s="7">
        <f t="shared" ref="Z28:AA28" si="35">ROUND(0.4*T28 + 0.35*V28 + 0.25*X28, 2)</f>
        <v>6.6</v>
      </c>
      <c r="AA28" s="7">
        <f t="shared" si="35"/>
        <v>4.95</v>
      </c>
      <c r="AB28" s="17" t="s">
        <v>57</v>
      </c>
      <c r="AC28" s="17" t="s">
        <v>106</v>
      </c>
      <c r="AD28" s="15">
        <v>101.0</v>
      </c>
      <c r="AE28" s="4" t="s">
        <v>59</v>
      </c>
      <c r="AF28" s="15">
        <v>248.0</v>
      </c>
      <c r="AG28" s="3" t="s">
        <v>73</v>
      </c>
      <c r="AH28" s="17">
        <v>5.0</v>
      </c>
      <c r="AI28" s="23">
        <v>46022.0</v>
      </c>
      <c r="AJ28" s="17" t="s">
        <v>62</v>
      </c>
      <c r="AK28" s="16">
        <v>0.3090277777777778</v>
      </c>
      <c r="AL28" s="15">
        <v>4519.0</v>
      </c>
      <c r="AM28" s="15">
        <v>80.0</v>
      </c>
      <c r="AN28" s="15">
        <v>992.0</v>
      </c>
      <c r="AO28" s="15">
        <f t="shared" si="34"/>
        <v>74</v>
      </c>
      <c r="AP28" s="15">
        <v>30701.0</v>
      </c>
      <c r="AQ28" s="17">
        <v>259.0</v>
      </c>
      <c r="AR28" s="15">
        <v>5.0</v>
      </c>
      <c r="AS28" s="17">
        <v>209.0</v>
      </c>
      <c r="AT28" s="17">
        <v>5.0</v>
      </c>
      <c r="AU28" s="17">
        <v>5.0</v>
      </c>
      <c r="AV28" s="17">
        <v>0.0</v>
      </c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</row>
    <row r="29" ht="22.5" customHeight="1">
      <c r="A29" s="9" t="s">
        <v>103</v>
      </c>
      <c r="B29" s="9" t="s">
        <v>67</v>
      </c>
      <c r="C29" s="9" t="s">
        <v>104</v>
      </c>
      <c r="D29" s="9" t="s">
        <v>75</v>
      </c>
      <c r="E29" s="33" t="s">
        <v>52</v>
      </c>
      <c r="F29" s="43">
        <v>80.0</v>
      </c>
      <c r="G29" s="43">
        <v>175.0</v>
      </c>
      <c r="H29" s="44">
        <v>46019.0</v>
      </c>
      <c r="I29" s="45">
        <v>0.5548611111111111</v>
      </c>
      <c r="J29" s="36">
        <v>1600.0</v>
      </c>
      <c r="K29" s="36">
        <v>14221.0</v>
      </c>
      <c r="L29" s="37">
        <v>33.0</v>
      </c>
      <c r="M29" s="37" t="s">
        <v>108</v>
      </c>
      <c r="N29" s="37">
        <v>17.0</v>
      </c>
      <c r="O29" s="19">
        <f t="shared" si="2"/>
        <v>55</v>
      </c>
      <c r="P29" s="21">
        <v>608.0</v>
      </c>
      <c r="Q29" s="9" t="s">
        <v>69</v>
      </c>
      <c r="R29" s="13" t="s">
        <v>70</v>
      </c>
      <c r="S29" s="21" t="s">
        <v>71</v>
      </c>
      <c r="T29" s="22">
        <v>7.0</v>
      </c>
      <c r="U29" s="19">
        <v>6.0</v>
      </c>
      <c r="V29" s="22">
        <v>7.0</v>
      </c>
      <c r="W29" s="19">
        <v>10.0</v>
      </c>
      <c r="X29" s="22">
        <v>9.0</v>
      </c>
      <c r="Y29" s="19">
        <v>9.0</v>
      </c>
      <c r="Z29" s="13">
        <f t="shared" ref="Z29:AA29" si="36">ROUND(0.4*T29 + 0.35*V29 + 0.25*X29, 2)</f>
        <v>7.5</v>
      </c>
      <c r="AA29" s="13">
        <f t="shared" si="36"/>
        <v>8.15</v>
      </c>
      <c r="AB29" s="21" t="s">
        <v>57</v>
      </c>
      <c r="AC29" s="21" t="s">
        <v>106</v>
      </c>
      <c r="AD29" s="19">
        <v>101.0</v>
      </c>
      <c r="AE29" s="10" t="s">
        <v>59</v>
      </c>
      <c r="AF29" s="19">
        <v>248.0</v>
      </c>
      <c r="AG29" s="9" t="s">
        <v>73</v>
      </c>
      <c r="AH29" s="21">
        <v>5.0</v>
      </c>
      <c r="AI29" s="24">
        <v>46022.0</v>
      </c>
      <c r="AJ29" s="21" t="s">
        <v>62</v>
      </c>
      <c r="AK29" s="20">
        <v>0.3090277777777778</v>
      </c>
      <c r="AL29" s="19">
        <v>4519.0</v>
      </c>
      <c r="AM29" s="19">
        <v>80.0</v>
      </c>
      <c r="AN29" s="19">
        <v>992.0</v>
      </c>
      <c r="AO29" s="19">
        <f t="shared" si="34"/>
        <v>74</v>
      </c>
      <c r="AP29" s="19">
        <v>30701.0</v>
      </c>
      <c r="AQ29" s="21">
        <v>259.0</v>
      </c>
      <c r="AR29" s="19">
        <v>5.0</v>
      </c>
      <c r="AS29" s="21">
        <v>209.0</v>
      </c>
      <c r="AT29" s="21">
        <v>5.0</v>
      </c>
      <c r="AU29" s="21">
        <v>5.0</v>
      </c>
      <c r="AV29" s="21">
        <v>0.0</v>
      </c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</row>
    <row r="30" ht="22.5" customHeight="1">
      <c r="A30" s="3" t="s">
        <v>109</v>
      </c>
      <c r="B30" s="3" t="s">
        <v>73</v>
      </c>
      <c r="C30" s="3" t="s">
        <v>110</v>
      </c>
      <c r="D30" s="3" t="s">
        <v>75</v>
      </c>
      <c r="E30" s="27" t="s">
        <v>52</v>
      </c>
      <c r="F30" s="27">
        <v>10.0</v>
      </c>
      <c r="G30" s="27">
        <v>116.0</v>
      </c>
      <c r="H30" s="28">
        <v>46017.0</v>
      </c>
      <c r="I30" s="29">
        <v>0.425</v>
      </c>
      <c r="J30" s="30">
        <v>77.0</v>
      </c>
      <c r="K30" s="30">
        <v>454.0</v>
      </c>
      <c r="L30" s="31">
        <v>5.0</v>
      </c>
      <c r="M30" s="31" t="s">
        <v>111</v>
      </c>
      <c r="N30" s="31">
        <v>3.0</v>
      </c>
      <c r="O30" s="15">
        <f t="shared" si="2"/>
        <v>13</v>
      </c>
      <c r="P30" s="17">
        <v>570.0</v>
      </c>
      <c r="Q30" s="3" t="s">
        <v>54</v>
      </c>
      <c r="R30" s="7" t="s">
        <v>55</v>
      </c>
      <c r="S30" s="17" t="s">
        <v>56</v>
      </c>
      <c r="T30" s="18">
        <v>10.0</v>
      </c>
      <c r="U30" s="15">
        <v>10.0</v>
      </c>
      <c r="V30" s="18">
        <v>9.0</v>
      </c>
      <c r="W30" s="15">
        <v>10.0</v>
      </c>
      <c r="X30" s="18">
        <v>8.5</v>
      </c>
      <c r="Y30" s="15">
        <v>10.0</v>
      </c>
      <c r="Z30" s="7">
        <f t="shared" ref="Z30:AA30" si="37">ROUND(0.4*T30 + 0.35*V30 + 0.25*X30, 2)</f>
        <v>9.28</v>
      </c>
      <c r="AA30" s="7">
        <f t="shared" si="37"/>
        <v>10</v>
      </c>
      <c r="AB30" s="17" t="s">
        <v>77</v>
      </c>
      <c r="AC30" s="17" t="s">
        <v>112</v>
      </c>
      <c r="AD30" s="15">
        <v>94.0</v>
      </c>
      <c r="AE30" s="4" t="s">
        <v>59</v>
      </c>
      <c r="AF30" s="15">
        <v>349.0</v>
      </c>
      <c r="AG30" s="3" t="s">
        <v>73</v>
      </c>
      <c r="AH30" s="17">
        <v>5.0</v>
      </c>
      <c r="AI30" s="23">
        <v>46025.0</v>
      </c>
      <c r="AJ30" s="17" t="s">
        <v>79</v>
      </c>
      <c r="AK30" s="16">
        <v>0.3416666666666667</v>
      </c>
      <c r="AL30" s="15">
        <v>4554.0</v>
      </c>
      <c r="AM30" s="15">
        <v>82.0</v>
      </c>
      <c r="AN30" s="15">
        <v>995.0</v>
      </c>
      <c r="AO30" s="15">
        <f t="shared" ref="AO30:AO33" si="39">60+46</f>
        <v>106</v>
      </c>
      <c r="AP30" s="15">
        <v>24987.0</v>
      </c>
      <c r="AQ30" s="17">
        <v>149.0</v>
      </c>
      <c r="AR30" s="15">
        <v>5.0</v>
      </c>
      <c r="AS30" s="17">
        <v>178.0</v>
      </c>
      <c r="AT30" s="17">
        <v>5.0</v>
      </c>
      <c r="AU30" s="17">
        <v>0.0</v>
      </c>
      <c r="AV30" s="17">
        <v>0.0</v>
      </c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</row>
    <row r="31" ht="22.5" customHeight="1">
      <c r="A31" s="9" t="s">
        <v>109</v>
      </c>
      <c r="B31" s="9" t="s">
        <v>60</v>
      </c>
      <c r="C31" s="9" t="s">
        <v>110</v>
      </c>
      <c r="D31" s="9" t="s">
        <v>75</v>
      </c>
      <c r="E31" s="33" t="s">
        <v>52</v>
      </c>
      <c r="F31" s="33">
        <v>22.0</v>
      </c>
      <c r="G31" s="33">
        <v>55.0</v>
      </c>
      <c r="H31" s="34">
        <v>46017.0</v>
      </c>
      <c r="I31" s="35">
        <v>0.4270833333333333</v>
      </c>
      <c r="J31" s="36">
        <v>616.0</v>
      </c>
      <c r="K31" s="36">
        <v>3675.0</v>
      </c>
      <c r="L31" s="37">
        <v>42.0</v>
      </c>
      <c r="M31" s="37" t="s">
        <v>113</v>
      </c>
      <c r="N31" s="37">
        <v>18.0</v>
      </c>
      <c r="O31" s="19">
        <f t="shared" si="2"/>
        <v>13</v>
      </c>
      <c r="P31" s="21">
        <v>361.0</v>
      </c>
      <c r="Q31" s="9" t="s">
        <v>64</v>
      </c>
      <c r="R31" s="13" t="s">
        <v>55</v>
      </c>
      <c r="S31" s="21" t="s">
        <v>56</v>
      </c>
      <c r="T31" s="22">
        <v>9.0</v>
      </c>
      <c r="U31" s="19">
        <v>10.0</v>
      </c>
      <c r="V31" s="22">
        <v>7.0</v>
      </c>
      <c r="W31" s="19">
        <v>6.0</v>
      </c>
      <c r="X31" s="22">
        <v>7.0</v>
      </c>
      <c r="Y31" s="19">
        <v>5.0</v>
      </c>
      <c r="Z31" s="13">
        <f t="shared" ref="Z31:AA31" si="38">ROUND(0.4*T31 + 0.35*V31 + 0.25*X31, 2)</f>
        <v>7.8</v>
      </c>
      <c r="AA31" s="13">
        <f t="shared" si="38"/>
        <v>7.35</v>
      </c>
      <c r="AB31" s="21" t="s">
        <v>77</v>
      </c>
      <c r="AC31" s="21" t="s">
        <v>112</v>
      </c>
      <c r="AD31" s="19">
        <v>94.0</v>
      </c>
      <c r="AE31" s="10" t="s">
        <v>59</v>
      </c>
      <c r="AF31" s="19">
        <v>349.0</v>
      </c>
      <c r="AG31" s="9" t="s">
        <v>73</v>
      </c>
      <c r="AH31" s="21">
        <v>5.0</v>
      </c>
      <c r="AI31" s="24">
        <v>46025.0</v>
      </c>
      <c r="AJ31" s="21" t="s">
        <v>79</v>
      </c>
      <c r="AK31" s="20">
        <v>0.3416666666666667</v>
      </c>
      <c r="AL31" s="19">
        <v>4554.0</v>
      </c>
      <c r="AM31" s="19">
        <v>82.0</v>
      </c>
      <c r="AN31" s="19">
        <v>995.0</v>
      </c>
      <c r="AO31" s="19">
        <f t="shared" si="39"/>
        <v>106</v>
      </c>
      <c r="AP31" s="19">
        <v>24987.0</v>
      </c>
      <c r="AQ31" s="21">
        <v>149.0</v>
      </c>
      <c r="AR31" s="19">
        <v>5.0</v>
      </c>
      <c r="AS31" s="21">
        <v>178.0</v>
      </c>
      <c r="AT31" s="21">
        <v>5.0</v>
      </c>
      <c r="AU31" s="21">
        <v>0.0</v>
      </c>
      <c r="AV31" s="21">
        <v>0.0</v>
      </c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</row>
    <row r="32" ht="22.5" customHeight="1">
      <c r="A32" s="3" t="s">
        <v>109</v>
      </c>
      <c r="B32" s="3" t="s">
        <v>65</v>
      </c>
      <c r="C32" s="3" t="s">
        <v>110</v>
      </c>
      <c r="D32" s="3" t="s">
        <v>75</v>
      </c>
      <c r="E32" s="27" t="s">
        <v>52</v>
      </c>
      <c r="F32" s="27">
        <v>160.0</v>
      </c>
      <c r="G32" s="27">
        <v>167.0</v>
      </c>
      <c r="H32" s="28">
        <v>46017.0</v>
      </c>
      <c r="I32" s="29">
        <v>0.42916666666666664</v>
      </c>
      <c r="J32" s="30">
        <v>494.0</v>
      </c>
      <c r="K32" s="30">
        <v>3006.0</v>
      </c>
      <c r="L32" s="31">
        <v>38.0</v>
      </c>
      <c r="M32" s="31" t="s">
        <v>114</v>
      </c>
      <c r="N32" s="31">
        <v>28.0</v>
      </c>
      <c r="O32" s="15">
        <f t="shared" si="2"/>
        <v>13</v>
      </c>
      <c r="P32" s="17">
        <v>116.0</v>
      </c>
      <c r="Q32" s="3" t="s">
        <v>66</v>
      </c>
      <c r="R32" s="7" t="s">
        <v>55</v>
      </c>
      <c r="S32" s="17" t="s">
        <v>56</v>
      </c>
      <c r="T32" s="18">
        <v>8.0</v>
      </c>
      <c r="U32" s="15">
        <v>3.0</v>
      </c>
      <c r="V32" s="18">
        <v>7.0</v>
      </c>
      <c r="W32" s="15">
        <v>8.0</v>
      </c>
      <c r="X32" s="18">
        <v>6.5</v>
      </c>
      <c r="Y32" s="15">
        <v>5.0</v>
      </c>
      <c r="Z32" s="7">
        <f t="shared" ref="Z32:AA32" si="40">ROUND(0.4*T32 + 0.35*V32 + 0.25*X32, 2)</f>
        <v>7.28</v>
      </c>
      <c r="AA32" s="7">
        <f t="shared" si="40"/>
        <v>5.25</v>
      </c>
      <c r="AB32" s="17" t="s">
        <v>77</v>
      </c>
      <c r="AC32" s="17" t="s">
        <v>112</v>
      </c>
      <c r="AD32" s="15">
        <v>94.0</v>
      </c>
      <c r="AE32" s="4" t="s">
        <v>59</v>
      </c>
      <c r="AF32" s="15">
        <v>349.0</v>
      </c>
      <c r="AG32" s="3" t="s">
        <v>73</v>
      </c>
      <c r="AH32" s="17">
        <v>5.0</v>
      </c>
      <c r="AI32" s="23">
        <v>46025.0</v>
      </c>
      <c r="AJ32" s="17" t="s">
        <v>79</v>
      </c>
      <c r="AK32" s="16">
        <v>0.3416666666666667</v>
      </c>
      <c r="AL32" s="15">
        <v>4554.0</v>
      </c>
      <c r="AM32" s="15">
        <v>82.0</v>
      </c>
      <c r="AN32" s="15">
        <v>995.0</v>
      </c>
      <c r="AO32" s="15">
        <f t="shared" si="39"/>
        <v>106</v>
      </c>
      <c r="AP32" s="15">
        <v>24987.0</v>
      </c>
      <c r="AQ32" s="17">
        <v>149.0</v>
      </c>
      <c r="AR32" s="15">
        <v>5.0</v>
      </c>
      <c r="AS32" s="17">
        <v>178.0</v>
      </c>
      <c r="AT32" s="17">
        <v>5.0</v>
      </c>
      <c r="AU32" s="17">
        <v>0.0</v>
      </c>
      <c r="AV32" s="17">
        <v>0.0</v>
      </c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</row>
    <row r="33" ht="22.5" customHeight="1">
      <c r="A33" s="9" t="s">
        <v>109</v>
      </c>
      <c r="B33" s="9" t="s">
        <v>67</v>
      </c>
      <c r="C33" s="9" t="s">
        <v>110</v>
      </c>
      <c r="D33" s="9" t="s">
        <v>75</v>
      </c>
      <c r="E33" s="33" t="s">
        <v>52</v>
      </c>
      <c r="F33" s="33">
        <v>8.0</v>
      </c>
      <c r="G33" s="33">
        <v>82.0</v>
      </c>
      <c r="H33" s="34">
        <v>46017.0</v>
      </c>
      <c r="I33" s="35">
        <v>0.43125</v>
      </c>
      <c r="J33" s="36">
        <v>166.0</v>
      </c>
      <c r="K33" s="36">
        <v>925.0</v>
      </c>
      <c r="L33" s="37">
        <v>3.0</v>
      </c>
      <c r="M33" s="37" t="s">
        <v>114</v>
      </c>
      <c r="N33" s="37">
        <v>9.0</v>
      </c>
      <c r="O33" s="19">
        <f t="shared" si="2"/>
        <v>13</v>
      </c>
      <c r="P33" s="21">
        <v>615.0</v>
      </c>
      <c r="Q33" s="9" t="s">
        <v>69</v>
      </c>
      <c r="R33" s="13" t="s">
        <v>70</v>
      </c>
      <c r="S33" s="21" t="s">
        <v>56</v>
      </c>
      <c r="T33" s="22">
        <v>9.5</v>
      </c>
      <c r="U33" s="19">
        <v>10.0</v>
      </c>
      <c r="V33" s="22">
        <v>9.0</v>
      </c>
      <c r="W33" s="19">
        <v>10.0</v>
      </c>
      <c r="X33" s="22">
        <v>8.5</v>
      </c>
      <c r="Y33" s="19">
        <v>9.0</v>
      </c>
      <c r="Z33" s="13">
        <f t="shared" ref="Z33:AA33" si="41">ROUND(0.4*T33 + 0.35*V33 + 0.25*X33, 2)</f>
        <v>9.08</v>
      </c>
      <c r="AA33" s="13">
        <f t="shared" si="41"/>
        <v>9.75</v>
      </c>
      <c r="AB33" s="21" t="s">
        <v>77</v>
      </c>
      <c r="AC33" s="21" t="s">
        <v>112</v>
      </c>
      <c r="AD33" s="19">
        <v>94.0</v>
      </c>
      <c r="AE33" s="10" t="s">
        <v>59</v>
      </c>
      <c r="AF33" s="19">
        <v>349.0</v>
      </c>
      <c r="AG33" s="9" t="s">
        <v>73</v>
      </c>
      <c r="AH33" s="21">
        <v>5.0</v>
      </c>
      <c r="AI33" s="24">
        <v>46025.0</v>
      </c>
      <c r="AJ33" s="21" t="s">
        <v>79</v>
      </c>
      <c r="AK33" s="20">
        <v>0.3416666666666667</v>
      </c>
      <c r="AL33" s="19">
        <v>4554.0</v>
      </c>
      <c r="AM33" s="19">
        <v>82.0</v>
      </c>
      <c r="AN33" s="19">
        <v>995.0</v>
      </c>
      <c r="AO33" s="19">
        <f t="shared" si="39"/>
        <v>106</v>
      </c>
      <c r="AP33" s="19">
        <v>24987.0</v>
      </c>
      <c r="AQ33" s="21">
        <v>149.0</v>
      </c>
      <c r="AR33" s="19">
        <v>5.0</v>
      </c>
      <c r="AS33" s="21">
        <v>178.0</v>
      </c>
      <c r="AT33" s="21">
        <v>5.0</v>
      </c>
      <c r="AU33" s="21">
        <v>0.0</v>
      </c>
      <c r="AV33" s="21">
        <v>0.0</v>
      </c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</row>
    <row r="34" ht="22.5" customHeight="1">
      <c r="A34" s="3" t="s">
        <v>115</v>
      </c>
      <c r="B34" s="3" t="s">
        <v>73</v>
      </c>
      <c r="C34" s="3" t="s">
        <v>116</v>
      </c>
      <c r="D34" s="3" t="s">
        <v>75</v>
      </c>
      <c r="E34" s="27" t="s">
        <v>93</v>
      </c>
      <c r="F34" s="27">
        <v>18.0</v>
      </c>
      <c r="G34" s="27">
        <v>115.0</v>
      </c>
      <c r="H34" s="28">
        <v>46021.0</v>
      </c>
      <c r="I34" s="29">
        <v>0.6673611111111111</v>
      </c>
      <c r="J34" s="30">
        <v>58.0</v>
      </c>
      <c r="K34" s="30">
        <v>414.0</v>
      </c>
      <c r="L34" s="31">
        <v>4.0</v>
      </c>
      <c r="M34" s="31" t="s">
        <v>117</v>
      </c>
      <c r="N34" s="31">
        <v>3.0</v>
      </c>
      <c r="O34" s="15">
        <f t="shared" si="2"/>
        <v>44</v>
      </c>
      <c r="P34" s="17">
        <v>502.0</v>
      </c>
      <c r="Q34" s="3" t="s">
        <v>54</v>
      </c>
      <c r="R34" s="7" t="s">
        <v>55</v>
      </c>
      <c r="S34" s="17" t="s">
        <v>56</v>
      </c>
      <c r="T34" s="18">
        <v>8.5</v>
      </c>
      <c r="U34" s="15">
        <v>10.0</v>
      </c>
      <c r="V34" s="18">
        <v>8.5</v>
      </c>
      <c r="W34" s="15">
        <v>10.0</v>
      </c>
      <c r="X34" s="18">
        <v>9.0</v>
      </c>
      <c r="Y34" s="15">
        <v>9.0</v>
      </c>
      <c r="Z34" s="7">
        <f t="shared" ref="Z34:AA34" si="42">ROUND(0.4*T34 + 0.35*V34 + 0.25*X34, 2)</f>
        <v>8.63</v>
      </c>
      <c r="AA34" s="7">
        <f t="shared" si="42"/>
        <v>9.75</v>
      </c>
      <c r="AB34" s="17" t="s">
        <v>57</v>
      </c>
      <c r="AC34" s="17" t="s">
        <v>118</v>
      </c>
      <c r="AD34" s="15">
        <v>94.0</v>
      </c>
      <c r="AE34" s="4" t="s">
        <v>59</v>
      </c>
      <c r="AF34" s="15">
        <v>274.0</v>
      </c>
      <c r="AG34" s="3" t="s">
        <v>67</v>
      </c>
      <c r="AH34" s="17">
        <v>5.0</v>
      </c>
      <c r="AI34" s="23">
        <v>46029.0</v>
      </c>
      <c r="AJ34" s="17" t="s">
        <v>62</v>
      </c>
      <c r="AK34" s="16">
        <v>0.7180555555555556</v>
      </c>
      <c r="AL34" s="15">
        <v>4603.0</v>
      </c>
      <c r="AM34" s="15">
        <v>90.0</v>
      </c>
      <c r="AN34" s="15">
        <v>1003.0</v>
      </c>
      <c r="AO34" s="15">
        <f t="shared" ref="AO34:AO37" si="44">60+23</f>
        <v>83</v>
      </c>
      <c r="AP34" s="15">
        <v>27182.0</v>
      </c>
      <c r="AQ34" s="17">
        <v>273.0</v>
      </c>
      <c r="AR34" s="15">
        <v>7.0</v>
      </c>
      <c r="AS34" s="17">
        <v>433.0</v>
      </c>
      <c r="AT34" s="17">
        <v>12.0</v>
      </c>
      <c r="AU34" s="17">
        <v>3.0</v>
      </c>
      <c r="AV34" s="17">
        <v>0.0</v>
      </c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</row>
    <row r="35" ht="22.5" customHeight="1">
      <c r="A35" s="9" t="s">
        <v>115</v>
      </c>
      <c r="B35" s="9" t="s">
        <v>60</v>
      </c>
      <c r="C35" s="9" t="s">
        <v>116</v>
      </c>
      <c r="D35" s="9" t="s">
        <v>75</v>
      </c>
      <c r="E35" s="33" t="s">
        <v>93</v>
      </c>
      <c r="F35" s="33">
        <v>13.0</v>
      </c>
      <c r="G35" s="33">
        <v>40.0</v>
      </c>
      <c r="H35" s="34">
        <v>46021.0</v>
      </c>
      <c r="I35" s="35">
        <v>0.66875</v>
      </c>
      <c r="J35" s="36">
        <v>185.0</v>
      </c>
      <c r="K35" s="36">
        <v>1241.0</v>
      </c>
      <c r="L35" s="37">
        <v>12.0</v>
      </c>
      <c r="M35" s="37" t="s">
        <v>101</v>
      </c>
      <c r="N35" s="37">
        <v>6.0</v>
      </c>
      <c r="O35" s="19">
        <f t="shared" si="2"/>
        <v>44</v>
      </c>
      <c r="P35" s="21">
        <v>351.0</v>
      </c>
      <c r="Q35" s="9" t="s">
        <v>64</v>
      </c>
      <c r="R35" s="13" t="s">
        <v>55</v>
      </c>
      <c r="S35" s="21" t="s">
        <v>56</v>
      </c>
      <c r="T35" s="22">
        <v>9.0</v>
      </c>
      <c r="U35" s="19">
        <v>10.0</v>
      </c>
      <c r="V35" s="22">
        <v>8.0</v>
      </c>
      <c r="W35" s="19">
        <v>10.0</v>
      </c>
      <c r="X35" s="22">
        <v>8.0</v>
      </c>
      <c r="Y35" s="19">
        <v>10.0</v>
      </c>
      <c r="Z35" s="13">
        <f t="shared" ref="Z35:AA35" si="43">ROUND(0.4*T35 + 0.35*V35 + 0.25*X35, 2)</f>
        <v>8.4</v>
      </c>
      <c r="AA35" s="13">
        <f t="shared" si="43"/>
        <v>10</v>
      </c>
      <c r="AB35" s="21" t="s">
        <v>57</v>
      </c>
      <c r="AC35" s="21" t="s">
        <v>118</v>
      </c>
      <c r="AD35" s="19">
        <v>94.0</v>
      </c>
      <c r="AE35" s="10" t="s">
        <v>59</v>
      </c>
      <c r="AF35" s="19">
        <v>274.0</v>
      </c>
      <c r="AG35" s="9" t="s">
        <v>67</v>
      </c>
      <c r="AH35" s="21">
        <v>5.0</v>
      </c>
      <c r="AI35" s="24">
        <v>46029.0</v>
      </c>
      <c r="AJ35" s="21" t="s">
        <v>62</v>
      </c>
      <c r="AK35" s="20">
        <v>0.7180555555555556</v>
      </c>
      <c r="AL35" s="19">
        <v>4603.0</v>
      </c>
      <c r="AM35" s="19">
        <v>90.0</v>
      </c>
      <c r="AN35" s="19">
        <v>1003.0</v>
      </c>
      <c r="AO35" s="19">
        <f t="shared" si="44"/>
        <v>83</v>
      </c>
      <c r="AP35" s="19">
        <v>27182.0</v>
      </c>
      <c r="AQ35" s="21">
        <v>273.0</v>
      </c>
      <c r="AR35" s="19">
        <v>7.0</v>
      </c>
      <c r="AS35" s="21">
        <v>433.0</v>
      </c>
      <c r="AT35" s="21">
        <v>12.0</v>
      </c>
      <c r="AU35" s="21">
        <v>3.0</v>
      </c>
      <c r="AV35" s="21">
        <v>0.0</v>
      </c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</row>
    <row r="36" ht="22.5" customHeight="1">
      <c r="A36" s="3" t="s">
        <v>115</v>
      </c>
      <c r="B36" s="3" t="s">
        <v>65</v>
      </c>
      <c r="C36" s="3" t="s">
        <v>116</v>
      </c>
      <c r="D36" s="3" t="s">
        <v>75</v>
      </c>
      <c r="E36" s="27" t="s">
        <v>93</v>
      </c>
      <c r="F36" s="27">
        <v>104.0</v>
      </c>
      <c r="G36" s="27">
        <v>214.0</v>
      </c>
      <c r="H36" s="28">
        <v>46021.0</v>
      </c>
      <c r="I36" s="29">
        <v>0.6694444444444444</v>
      </c>
      <c r="J36" s="30">
        <v>393.0</v>
      </c>
      <c r="K36" s="30">
        <v>2633.0</v>
      </c>
      <c r="L36" s="31">
        <v>33.0</v>
      </c>
      <c r="M36" s="31" t="s">
        <v>119</v>
      </c>
      <c r="N36" s="31">
        <v>9.0</v>
      </c>
      <c r="O36" s="15">
        <f t="shared" si="2"/>
        <v>44</v>
      </c>
      <c r="P36" s="17">
        <v>262.0</v>
      </c>
      <c r="Q36" s="3" t="s">
        <v>66</v>
      </c>
      <c r="R36" s="7" t="s">
        <v>55</v>
      </c>
      <c r="S36" s="17" t="s">
        <v>56</v>
      </c>
      <c r="T36" s="18">
        <v>9.5</v>
      </c>
      <c r="U36" s="15">
        <v>10.0</v>
      </c>
      <c r="V36" s="18">
        <v>9.0</v>
      </c>
      <c r="W36" s="15">
        <v>10.0</v>
      </c>
      <c r="X36" s="18">
        <v>7.5</v>
      </c>
      <c r="Y36" s="15">
        <v>8.0</v>
      </c>
      <c r="Z36" s="7">
        <f t="shared" ref="Z36:AA36" si="45">ROUND(0.4*T36 + 0.35*V36 + 0.25*X36, 2)</f>
        <v>8.83</v>
      </c>
      <c r="AA36" s="7">
        <f t="shared" si="45"/>
        <v>9.5</v>
      </c>
      <c r="AB36" s="17" t="s">
        <v>57</v>
      </c>
      <c r="AC36" s="17" t="s">
        <v>118</v>
      </c>
      <c r="AD36" s="15">
        <v>94.0</v>
      </c>
      <c r="AE36" s="4" t="s">
        <v>59</v>
      </c>
      <c r="AF36" s="15">
        <v>274.0</v>
      </c>
      <c r="AG36" s="3" t="s">
        <v>67</v>
      </c>
      <c r="AH36" s="17">
        <v>5.0</v>
      </c>
      <c r="AI36" s="23">
        <v>46029.0</v>
      </c>
      <c r="AJ36" s="17" t="s">
        <v>62</v>
      </c>
      <c r="AK36" s="16">
        <v>0.7180555555555556</v>
      </c>
      <c r="AL36" s="15">
        <v>4603.0</v>
      </c>
      <c r="AM36" s="15">
        <v>90.0</v>
      </c>
      <c r="AN36" s="15">
        <v>1003.0</v>
      </c>
      <c r="AO36" s="15">
        <f t="shared" si="44"/>
        <v>83</v>
      </c>
      <c r="AP36" s="15">
        <v>27182.0</v>
      </c>
      <c r="AQ36" s="17">
        <v>273.0</v>
      </c>
      <c r="AR36" s="15">
        <v>7.0</v>
      </c>
      <c r="AS36" s="17">
        <v>433.0</v>
      </c>
      <c r="AT36" s="17">
        <v>12.0</v>
      </c>
      <c r="AU36" s="17">
        <v>3.0</v>
      </c>
      <c r="AV36" s="17">
        <v>0.0</v>
      </c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</row>
    <row r="37" ht="22.5" customHeight="1">
      <c r="A37" s="9" t="s">
        <v>115</v>
      </c>
      <c r="B37" s="9" t="s">
        <v>67</v>
      </c>
      <c r="C37" s="9" t="s">
        <v>116</v>
      </c>
      <c r="D37" s="9" t="s">
        <v>75</v>
      </c>
      <c r="E37" s="33" t="s">
        <v>93</v>
      </c>
      <c r="F37" s="33">
        <v>58.0</v>
      </c>
      <c r="G37" s="33">
        <v>151.0</v>
      </c>
      <c r="H37" s="34">
        <v>46021.0</v>
      </c>
      <c r="I37" s="35">
        <v>0.6715277777777777</v>
      </c>
      <c r="J37" s="36">
        <v>1488.0</v>
      </c>
      <c r="K37" s="36">
        <v>13958.0</v>
      </c>
      <c r="L37" s="37">
        <v>23.0</v>
      </c>
      <c r="M37" s="37" t="s">
        <v>120</v>
      </c>
      <c r="N37" s="37">
        <v>38.0</v>
      </c>
      <c r="O37" s="19">
        <f t="shared" si="2"/>
        <v>44</v>
      </c>
      <c r="P37" s="21">
        <v>795.0</v>
      </c>
      <c r="Q37" s="9" t="s">
        <v>69</v>
      </c>
      <c r="R37" s="13" t="s">
        <v>70</v>
      </c>
      <c r="S37" s="21" t="s">
        <v>71</v>
      </c>
      <c r="T37" s="22">
        <v>5.5</v>
      </c>
      <c r="U37" s="19">
        <v>10.0</v>
      </c>
      <c r="V37" s="22">
        <v>5.5</v>
      </c>
      <c r="W37" s="19">
        <v>10.0</v>
      </c>
      <c r="X37" s="22">
        <v>7.0</v>
      </c>
      <c r="Y37" s="19">
        <v>10.0</v>
      </c>
      <c r="Z37" s="13">
        <f t="shared" ref="Z37:AA37" si="46">ROUND(0.4*T37 + 0.35*V37 + 0.25*X37, 2)</f>
        <v>5.88</v>
      </c>
      <c r="AA37" s="13">
        <f t="shared" si="46"/>
        <v>10</v>
      </c>
      <c r="AB37" s="21" t="s">
        <v>57</v>
      </c>
      <c r="AC37" s="21" t="s">
        <v>118</v>
      </c>
      <c r="AD37" s="19">
        <v>94.0</v>
      </c>
      <c r="AE37" s="10" t="s">
        <v>59</v>
      </c>
      <c r="AF37" s="19">
        <v>274.0</v>
      </c>
      <c r="AG37" s="9" t="s">
        <v>67</v>
      </c>
      <c r="AH37" s="21">
        <v>5.0</v>
      </c>
      <c r="AI37" s="24">
        <v>46029.0</v>
      </c>
      <c r="AJ37" s="21" t="s">
        <v>62</v>
      </c>
      <c r="AK37" s="20">
        <v>0.7180555555555556</v>
      </c>
      <c r="AL37" s="19">
        <v>4603.0</v>
      </c>
      <c r="AM37" s="19">
        <v>90.0</v>
      </c>
      <c r="AN37" s="19">
        <v>1003.0</v>
      </c>
      <c r="AO37" s="19">
        <f t="shared" si="44"/>
        <v>83</v>
      </c>
      <c r="AP37" s="19">
        <v>27182.0</v>
      </c>
      <c r="AQ37" s="21">
        <v>273.0</v>
      </c>
      <c r="AR37" s="19">
        <v>7.0</v>
      </c>
      <c r="AS37" s="21">
        <v>433.0</v>
      </c>
      <c r="AT37" s="21">
        <v>12.0</v>
      </c>
      <c r="AU37" s="21">
        <v>3.0</v>
      </c>
      <c r="AV37" s="21">
        <v>0.0</v>
      </c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</row>
    <row r="38" ht="22.5" customHeight="1">
      <c r="A38" s="3" t="s">
        <v>121</v>
      </c>
      <c r="B38" s="3" t="s">
        <v>73</v>
      </c>
      <c r="C38" s="3" t="s">
        <v>122</v>
      </c>
      <c r="D38" s="3" t="s">
        <v>75</v>
      </c>
      <c r="E38" s="27" t="s">
        <v>52</v>
      </c>
      <c r="F38" s="27">
        <v>25.0</v>
      </c>
      <c r="G38" s="27">
        <v>230.0</v>
      </c>
      <c r="H38" s="28">
        <v>46025.0</v>
      </c>
      <c r="I38" s="29">
        <v>0.6090277777777777</v>
      </c>
      <c r="J38" s="30">
        <v>214.0</v>
      </c>
      <c r="K38" s="30">
        <v>1287.0</v>
      </c>
      <c r="L38" s="31">
        <v>14.0</v>
      </c>
      <c r="M38" s="31" t="s">
        <v>123</v>
      </c>
      <c r="N38" s="31">
        <v>6.0</v>
      </c>
      <c r="O38" s="15">
        <f t="shared" si="2"/>
        <v>18</v>
      </c>
      <c r="P38" s="17">
        <v>974.0</v>
      </c>
      <c r="Q38" s="3" t="s">
        <v>54</v>
      </c>
      <c r="R38" s="7" t="s">
        <v>55</v>
      </c>
      <c r="S38" s="17" t="s">
        <v>56</v>
      </c>
      <c r="T38" s="18">
        <v>9.0</v>
      </c>
      <c r="U38" s="15">
        <v>10.0</v>
      </c>
      <c r="V38" s="18">
        <v>9.0</v>
      </c>
      <c r="W38" s="15">
        <v>9.0</v>
      </c>
      <c r="X38" s="18">
        <v>8.0</v>
      </c>
      <c r="Y38" s="15">
        <v>8.0</v>
      </c>
      <c r="Z38" s="7">
        <f t="shared" ref="Z38:AA38" si="47">ROUND(0.4*T38 + 0.35*V38 + 0.25*X38, 2)</f>
        <v>8.75</v>
      </c>
      <c r="AA38" s="7">
        <f t="shared" si="47"/>
        <v>9.15</v>
      </c>
      <c r="AB38" s="17" t="s">
        <v>77</v>
      </c>
      <c r="AC38" s="17" t="s">
        <v>100</v>
      </c>
      <c r="AD38" s="15">
        <v>102.0</v>
      </c>
      <c r="AE38" s="4" t="s">
        <v>59</v>
      </c>
      <c r="AF38" s="15">
        <v>245.0</v>
      </c>
      <c r="AG38" s="3" t="s">
        <v>60</v>
      </c>
      <c r="AH38" s="17">
        <v>5.0</v>
      </c>
      <c r="AI38" s="23">
        <v>46032.0</v>
      </c>
      <c r="AJ38" s="17" t="s">
        <v>79</v>
      </c>
      <c r="AK38" s="16">
        <v>0.33611111111111114</v>
      </c>
      <c r="AL38" s="15">
        <v>4686.0</v>
      </c>
      <c r="AM38" s="15">
        <v>92.0</v>
      </c>
      <c r="AN38" s="15">
        <v>1006.0</v>
      </c>
      <c r="AO38" s="15">
        <f t="shared" ref="AO38:AO41" si="49">60+11</f>
        <v>71</v>
      </c>
      <c r="AP38" s="15">
        <v>38167.0</v>
      </c>
      <c r="AQ38" s="17">
        <v>271.0</v>
      </c>
      <c r="AR38" s="15">
        <v>2.0</v>
      </c>
      <c r="AS38" s="17">
        <v>111.0</v>
      </c>
      <c r="AT38" s="17">
        <v>4.0</v>
      </c>
      <c r="AU38" s="17">
        <v>88.0</v>
      </c>
      <c r="AV38" s="17">
        <v>0.0</v>
      </c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</row>
    <row r="39" ht="22.5" customHeight="1">
      <c r="A39" s="9" t="s">
        <v>121</v>
      </c>
      <c r="B39" s="9" t="s">
        <v>60</v>
      </c>
      <c r="C39" s="9" t="s">
        <v>122</v>
      </c>
      <c r="D39" s="9" t="s">
        <v>75</v>
      </c>
      <c r="E39" s="33" t="s">
        <v>52</v>
      </c>
      <c r="F39" s="33">
        <v>12.0</v>
      </c>
      <c r="G39" s="33">
        <v>51.0</v>
      </c>
      <c r="H39" s="34">
        <v>46025.0</v>
      </c>
      <c r="I39" s="35">
        <v>0.6131944444444445</v>
      </c>
      <c r="J39" s="36">
        <v>194.0</v>
      </c>
      <c r="K39" s="36">
        <v>1221.0</v>
      </c>
      <c r="L39" s="37">
        <v>14.0</v>
      </c>
      <c r="M39" s="37" t="s">
        <v>101</v>
      </c>
      <c r="N39" s="37">
        <v>5.0</v>
      </c>
      <c r="O39" s="19">
        <f t="shared" si="2"/>
        <v>18</v>
      </c>
      <c r="P39" s="21">
        <v>427.0</v>
      </c>
      <c r="Q39" s="9" t="s">
        <v>64</v>
      </c>
      <c r="R39" s="13" t="s">
        <v>55</v>
      </c>
      <c r="S39" s="21" t="s">
        <v>56</v>
      </c>
      <c r="T39" s="22">
        <v>9.0</v>
      </c>
      <c r="U39" s="19">
        <v>10.0</v>
      </c>
      <c r="V39" s="22">
        <v>9.0</v>
      </c>
      <c r="W39" s="19">
        <v>9.0</v>
      </c>
      <c r="X39" s="22">
        <v>9.0</v>
      </c>
      <c r="Y39" s="19">
        <v>8.0</v>
      </c>
      <c r="Z39" s="13">
        <f t="shared" ref="Z39:AA39" si="48">ROUND(0.4*T39 + 0.35*V39 + 0.25*X39, 2)</f>
        <v>9</v>
      </c>
      <c r="AA39" s="13">
        <f t="shared" si="48"/>
        <v>9.15</v>
      </c>
      <c r="AB39" s="21" t="s">
        <v>77</v>
      </c>
      <c r="AC39" s="21" t="s">
        <v>100</v>
      </c>
      <c r="AD39" s="19">
        <v>102.0</v>
      </c>
      <c r="AE39" s="10" t="s">
        <v>59</v>
      </c>
      <c r="AF39" s="19">
        <v>245.0</v>
      </c>
      <c r="AG39" s="9" t="s">
        <v>60</v>
      </c>
      <c r="AH39" s="21">
        <v>5.0</v>
      </c>
      <c r="AI39" s="24">
        <v>46032.0</v>
      </c>
      <c r="AJ39" s="21" t="s">
        <v>79</v>
      </c>
      <c r="AK39" s="20">
        <v>0.33611111111111114</v>
      </c>
      <c r="AL39" s="19">
        <v>4686.0</v>
      </c>
      <c r="AM39" s="19">
        <v>92.0</v>
      </c>
      <c r="AN39" s="19">
        <v>1006.0</v>
      </c>
      <c r="AO39" s="19">
        <f t="shared" si="49"/>
        <v>71</v>
      </c>
      <c r="AP39" s="19">
        <v>38167.0</v>
      </c>
      <c r="AQ39" s="21">
        <v>271.0</v>
      </c>
      <c r="AR39" s="19">
        <v>2.0</v>
      </c>
      <c r="AS39" s="21">
        <v>111.0</v>
      </c>
      <c r="AT39" s="21">
        <v>4.0</v>
      </c>
      <c r="AU39" s="21">
        <v>88.0</v>
      </c>
      <c r="AV39" s="21">
        <v>0.0</v>
      </c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</row>
    <row r="40" ht="22.5" customHeight="1">
      <c r="A40" s="3" t="s">
        <v>121</v>
      </c>
      <c r="B40" s="3" t="s">
        <v>65</v>
      </c>
      <c r="C40" s="3" t="s">
        <v>122</v>
      </c>
      <c r="D40" s="3" t="s">
        <v>75</v>
      </c>
      <c r="E40" s="27" t="s">
        <v>52</v>
      </c>
      <c r="F40" s="27">
        <v>69.0</v>
      </c>
      <c r="G40" s="27">
        <v>82.0</v>
      </c>
      <c r="H40" s="28">
        <v>46025.0</v>
      </c>
      <c r="I40" s="29">
        <v>0.6145833333333334</v>
      </c>
      <c r="J40" s="30">
        <v>282.0</v>
      </c>
      <c r="K40" s="30">
        <v>1979.0</v>
      </c>
      <c r="L40" s="31">
        <v>21.0</v>
      </c>
      <c r="M40" s="31" t="s">
        <v>124</v>
      </c>
      <c r="N40" s="31">
        <v>15.0</v>
      </c>
      <c r="O40" s="15">
        <f t="shared" si="2"/>
        <v>18</v>
      </c>
      <c r="P40" s="17">
        <v>189.0</v>
      </c>
      <c r="Q40" s="3" t="s">
        <v>66</v>
      </c>
      <c r="R40" s="7" t="s">
        <v>55</v>
      </c>
      <c r="S40" s="17" t="s">
        <v>56</v>
      </c>
      <c r="T40" s="18">
        <v>8.5</v>
      </c>
      <c r="U40" s="15">
        <v>10.0</v>
      </c>
      <c r="V40" s="18">
        <v>8.8</v>
      </c>
      <c r="W40" s="15">
        <v>7.0</v>
      </c>
      <c r="X40" s="18">
        <v>8.0</v>
      </c>
      <c r="Y40" s="15">
        <v>9.0</v>
      </c>
      <c r="Z40" s="7">
        <f t="shared" ref="Z40:AA40" si="50">ROUND(0.4*T40 + 0.35*V40 + 0.25*X40, 2)</f>
        <v>8.48</v>
      </c>
      <c r="AA40" s="7">
        <f t="shared" si="50"/>
        <v>8.7</v>
      </c>
      <c r="AB40" s="17" t="s">
        <v>77</v>
      </c>
      <c r="AC40" s="17" t="s">
        <v>100</v>
      </c>
      <c r="AD40" s="15">
        <v>102.0</v>
      </c>
      <c r="AE40" s="4" t="s">
        <v>59</v>
      </c>
      <c r="AF40" s="15">
        <v>245.0</v>
      </c>
      <c r="AG40" s="3" t="s">
        <v>60</v>
      </c>
      <c r="AH40" s="17">
        <v>5.0</v>
      </c>
      <c r="AI40" s="23">
        <v>46032.0</v>
      </c>
      <c r="AJ40" s="17" t="s">
        <v>79</v>
      </c>
      <c r="AK40" s="16">
        <v>0.33611111111111114</v>
      </c>
      <c r="AL40" s="15">
        <v>4686.0</v>
      </c>
      <c r="AM40" s="15">
        <v>92.0</v>
      </c>
      <c r="AN40" s="15">
        <v>1006.0</v>
      </c>
      <c r="AO40" s="15">
        <f t="shared" si="49"/>
        <v>71</v>
      </c>
      <c r="AP40" s="15">
        <v>38167.0</v>
      </c>
      <c r="AQ40" s="17">
        <v>271.0</v>
      </c>
      <c r="AR40" s="15">
        <v>2.0</v>
      </c>
      <c r="AS40" s="17">
        <v>111.0</v>
      </c>
      <c r="AT40" s="17">
        <v>4.0</v>
      </c>
      <c r="AU40" s="17">
        <v>88.0</v>
      </c>
      <c r="AV40" s="17">
        <v>0.0</v>
      </c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</row>
    <row r="41" ht="22.5" customHeight="1">
      <c r="A41" s="9" t="s">
        <v>121</v>
      </c>
      <c r="B41" s="9" t="s">
        <v>67</v>
      </c>
      <c r="C41" s="9" t="s">
        <v>122</v>
      </c>
      <c r="D41" s="9" t="s">
        <v>75</v>
      </c>
      <c r="E41" s="33" t="s">
        <v>52</v>
      </c>
      <c r="F41" s="33">
        <v>14.0</v>
      </c>
      <c r="G41" s="33">
        <v>123.0</v>
      </c>
      <c r="H41" s="34">
        <v>46025.0</v>
      </c>
      <c r="I41" s="35">
        <v>0.6159722222222223</v>
      </c>
      <c r="J41" s="36">
        <v>333.0</v>
      </c>
      <c r="K41" s="36">
        <v>2156.0</v>
      </c>
      <c r="L41" s="37">
        <v>8.0</v>
      </c>
      <c r="M41" s="37" t="s">
        <v>124</v>
      </c>
      <c r="N41" s="37">
        <v>13.0</v>
      </c>
      <c r="O41" s="19">
        <f t="shared" si="2"/>
        <v>18</v>
      </c>
      <c r="P41" s="21">
        <v>770.0</v>
      </c>
      <c r="Q41" s="9" t="s">
        <v>69</v>
      </c>
      <c r="R41" s="13" t="s">
        <v>70</v>
      </c>
      <c r="S41" s="21" t="s">
        <v>71</v>
      </c>
      <c r="T41" s="22">
        <v>9.0</v>
      </c>
      <c r="U41" s="19">
        <v>10.0</v>
      </c>
      <c r="V41" s="22">
        <v>9.0</v>
      </c>
      <c r="W41" s="19">
        <v>6.0</v>
      </c>
      <c r="X41" s="22">
        <v>9.0</v>
      </c>
      <c r="Y41" s="19">
        <v>9.0</v>
      </c>
      <c r="Z41" s="13">
        <f t="shared" ref="Z41:AA41" si="51">ROUND(0.4*T41 + 0.35*V41 + 0.25*X41, 2)</f>
        <v>9</v>
      </c>
      <c r="AA41" s="13">
        <f t="shared" si="51"/>
        <v>8.35</v>
      </c>
      <c r="AB41" s="21" t="s">
        <v>77</v>
      </c>
      <c r="AC41" s="21" t="s">
        <v>100</v>
      </c>
      <c r="AD41" s="19">
        <v>102.0</v>
      </c>
      <c r="AE41" s="10" t="s">
        <v>59</v>
      </c>
      <c r="AF41" s="19">
        <v>245.0</v>
      </c>
      <c r="AG41" s="9" t="s">
        <v>60</v>
      </c>
      <c r="AH41" s="21">
        <v>5.0</v>
      </c>
      <c r="AI41" s="24">
        <v>46032.0</v>
      </c>
      <c r="AJ41" s="21" t="s">
        <v>79</v>
      </c>
      <c r="AK41" s="20">
        <v>0.33611111111111114</v>
      </c>
      <c r="AL41" s="19">
        <v>4686.0</v>
      </c>
      <c r="AM41" s="19">
        <v>92.0</v>
      </c>
      <c r="AN41" s="19">
        <v>1006.0</v>
      </c>
      <c r="AO41" s="19">
        <f t="shared" si="49"/>
        <v>71</v>
      </c>
      <c r="AP41" s="19">
        <v>38167.0</v>
      </c>
      <c r="AQ41" s="21">
        <v>271.0</v>
      </c>
      <c r="AR41" s="19">
        <v>2.0</v>
      </c>
      <c r="AS41" s="21">
        <v>111.0</v>
      </c>
      <c r="AT41" s="21">
        <v>4.0</v>
      </c>
      <c r="AU41" s="21">
        <v>88.0</v>
      </c>
      <c r="AV41" s="21">
        <v>0.0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</row>
    <row r="42" ht="22.5" customHeight="1">
      <c r="A42" s="3" t="s">
        <v>125</v>
      </c>
      <c r="B42" s="3" t="s">
        <v>73</v>
      </c>
      <c r="C42" s="3" t="s">
        <v>126</v>
      </c>
      <c r="D42" s="3" t="s">
        <v>75</v>
      </c>
      <c r="E42" s="27" t="s">
        <v>52</v>
      </c>
      <c r="F42" s="27">
        <v>466.0</v>
      </c>
      <c r="G42" s="27">
        <v>808.0</v>
      </c>
      <c r="H42" s="28">
        <v>46032.0</v>
      </c>
      <c r="I42" s="29">
        <v>0.5083333333333333</v>
      </c>
      <c r="J42" s="30">
        <v>887.0</v>
      </c>
      <c r="K42" s="30">
        <v>5565.0</v>
      </c>
      <c r="L42" s="31">
        <v>47.0</v>
      </c>
      <c r="M42" s="31" t="s">
        <v>127</v>
      </c>
      <c r="N42" s="31">
        <v>20.0</v>
      </c>
      <c r="O42" s="15">
        <f t="shared" si="2"/>
        <v>43</v>
      </c>
      <c r="P42" s="17">
        <v>827.0</v>
      </c>
      <c r="Q42" s="3" t="s">
        <v>54</v>
      </c>
      <c r="R42" s="7" t="s">
        <v>55</v>
      </c>
      <c r="S42" s="17" t="s">
        <v>56</v>
      </c>
      <c r="T42" s="18">
        <v>8.0</v>
      </c>
      <c r="U42" s="15">
        <v>10.0</v>
      </c>
      <c r="V42" s="18">
        <v>7.0</v>
      </c>
      <c r="W42" s="15">
        <v>10.0</v>
      </c>
      <c r="X42" s="18">
        <v>7.0</v>
      </c>
      <c r="Y42" s="15">
        <v>10.0</v>
      </c>
      <c r="Z42" s="7">
        <f t="shared" ref="Z42:AA42" si="52">ROUND(0.4*T42 + 0.35*V42 + 0.25*X42, 2)</f>
        <v>7.4</v>
      </c>
      <c r="AA42" s="7">
        <f t="shared" si="52"/>
        <v>10</v>
      </c>
      <c r="AB42" s="17" t="s">
        <v>57</v>
      </c>
      <c r="AC42" s="17" t="s">
        <v>128</v>
      </c>
      <c r="AD42" s="15">
        <v>146.0</v>
      </c>
      <c r="AE42" s="3" t="s">
        <v>129</v>
      </c>
      <c r="AF42" s="15">
        <v>241.0</v>
      </c>
      <c r="AG42" s="3" t="s">
        <v>67</v>
      </c>
      <c r="AH42" s="17">
        <v>5.0</v>
      </c>
      <c r="AI42" s="23">
        <v>46036.0</v>
      </c>
      <c r="AJ42" s="17" t="s">
        <v>62</v>
      </c>
      <c r="AK42" s="16">
        <v>0.51875</v>
      </c>
      <c r="AL42" s="15">
        <v>4755.0</v>
      </c>
      <c r="AM42" s="15">
        <v>94.0</v>
      </c>
      <c r="AN42" s="15">
        <v>1016.0</v>
      </c>
      <c r="AO42" s="15">
        <f t="shared" ref="AO42:AO45" si="54">60+32</f>
        <v>92</v>
      </c>
      <c r="AP42" s="15">
        <v>214.0</v>
      </c>
      <c r="AQ42" s="17">
        <v>5.0</v>
      </c>
      <c r="AR42" s="15">
        <v>1.0</v>
      </c>
      <c r="AS42" s="17">
        <v>197.0</v>
      </c>
      <c r="AT42" s="17">
        <v>8.0</v>
      </c>
      <c r="AU42" s="17">
        <v>20.0</v>
      </c>
      <c r="AV42" s="17">
        <v>0.0</v>
      </c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</row>
    <row r="43" ht="22.5" customHeight="1">
      <c r="A43" s="9" t="s">
        <v>125</v>
      </c>
      <c r="B43" s="9" t="s">
        <v>60</v>
      </c>
      <c r="C43" s="9" t="s">
        <v>126</v>
      </c>
      <c r="D43" s="9" t="s">
        <v>75</v>
      </c>
      <c r="E43" s="33" t="s">
        <v>52</v>
      </c>
      <c r="F43" s="33">
        <v>19.0</v>
      </c>
      <c r="G43" s="33">
        <v>57.0</v>
      </c>
      <c r="H43" s="34">
        <v>46032.0</v>
      </c>
      <c r="I43" s="35">
        <v>0.5180555555555556</v>
      </c>
      <c r="J43" s="36">
        <v>322.0</v>
      </c>
      <c r="K43" s="36">
        <v>2107.0</v>
      </c>
      <c r="L43" s="37">
        <v>21.0</v>
      </c>
      <c r="M43" s="37" t="s">
        <v>101</v>
      </c>
      <c r="N43" s="37">
        <v>12.0</v>
      </c>
      <c r="O43" s="19">
        <f t="shared" si="2"/>
        <v>43</v>
      </c>
      <c r="P43" s="21">
        <v>414.0</v>
      </c>
      <c r="Q43" s="9" t="s">
        <v>64</v>
      </c>
      <c r="R43" s="13" t="s">
        <v>55</v>
      </c>
      <c r="S43" s="21" t="s">
        <v>56</v>
      </c>
      <c r="T43" s="22">
        <v>7.5</v>
      </c>
      <c r="U43" s="19">
        <v>10.0</v>
      </c>
      <c r="V43" s="22">
        <v>7.0</v>
      </c>
      <c r="W43" s="19">
        <v>9.0</v>
      </c>
      <c r="X43" s="22">
        <v>7.0</v>
      </c>
      <c r="Y43" s="19">
        <v>8.0</v>
      </c>
      <c r="Z43" s="13">
        <f t="shared" ref="Z43:AA43" si="53">ROUND(0.4*T43 + 0.35*V43 + 0.25*X43, 2)</f>
        <v>7.2</v>
      </c>
      <c r="AA43" s="13">
        <f t="shared" si="53"/>
        <v>9.15</v>
      </c>
      <c r="AB43" s="21" t="s">
        <v>57</v>
      </c>
      <c r="AC43" s="21" t="s">
        <v>128</v>
      </c>
      <c r="AD43" s="19">
        <v>146.0</v>
      </c>
      <c r="AE43" s="9" t="s">
        <v>129</v>
      </c>
      <c r="AF43" s="19">
        <v>241.0</v>
      </c>
      <c r="AG43" s="9" t="s">
        <v>67</v>
      </c>
      <c r="AH43" s="21">
        <v>5.0</v>
      </c>
      <c r="AI43" s="24">
        <v>46036.0</v>
      </c>
      <c r="AJ43" s="21" t="s">
        <v>62</v>
      </c>
      <c r="AK43" s="20">
        <v>0.51875</v>
      </c>
      <c r="AL43" s="19">
        <v>4755.0</v>
      </c>
      <c r="AM43" s="19">
        <v>94.0</v>
      </c>
      <c r="AN43" s="19">
        <v>1016.0</v>
      </c>
      <c r="AO43" s="19">
        <f t="shared" si="54"/>
        <v>92</v>
      </c>
      <c r="AP43" s="19">
        <v>214.0</v>
      </c>
      <c r="AQ43" s="21">
        <v>5.0</v>
      </c>
      <c r="AR43" s="19">
        <v>1.0</v>
      </c>
      <c r="AS43" s="21">
        <v>197.0</v>
      </c>
      <c r="AT43" s="21">
        <v>8.0</v>
      </c>
      <c r="AU43" s="21">
        <v>20.0</v>
      </c>
      <c r="AV43" s="21">
        <v>0.0</v>
      </c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</row>
    <row r="44" ht="22.5" customHeight="1">
      <c r="A44" s="3" t="s">
        <v>125</v>
      </c>
      <c r="B44" s="3" t="s">
        <v>65</v>
      </c>
      <c r="C44" s="3" t="s">
        <v>126</v>
      </c>
      <c r="D44" s="3" t="s">
        <v>75</v>
      </c>
      <c r="E44" s="27" t="s">
        <v>52</v>
      </c>
      <c r="F44" s="27">
        <f>197+9</f>
        <v>206</v>
      </c>
      <c r="G44" s="27">
        <f>214+9</f>
        <v>223</v>
      </c>
      <c r="H44" s="28">
        <v>46032.0</v>
      </c>
      <c r="I44" s="29">
        <v>0.51875</v>
      </c>
      <c r="J44" s="30">
        <v>498.0</v>
      </c>
      <c r="K44" s="30">
        <v>3290.0</v>
      </c>
      <c r="L44" s="31">
        <v>46.0</v>
      </c>
      <c r="M44" s="31" t="s">
        <v>130</v>
      </c>
      <c r="N44" s="31">
        <v>17.0</v>
      </c>
      <c r="O44" s="15">
        <f t="shared" si="2"/>
        <v>43</v>
      </c>
      <c r="P44" s="17">
        <v>179.0</v>
      </c>
      <c r="Q44" s="3" t="s">
        <v>66</v>
      </c>
      <c r="R44" s="7" t="s">
        <v>55</v>
      </c>
      <c r="S44" s="17" t="s">
        <v>56</v>
      </c>
      <c r="T44" s="18">
        <v>3.0</v>
      </c>
      <c r="U44" s="15">
        <v>10.0</v>
      </c>
      <c r="V44" s="18">
        <v>4.0</v>
      </c>
      <c r="W44" s="15">
        <v>8.0</v>
      </c>
      <c r="X44" s="18">
        <v>5.0</v>
      </c>
      <c r="Y44" s="15">
        <v>6.0</v>
      </c>
      <c r="Z44" s="7">
        <f t="shared" ref="Z44:AA44" si="55">ROUND(0.4*T44 + 0.35*V44 + 0.25*X44, 2)</f>
        <v>3.85</v>
      </c>
      <c r="AA44" s="7">
        <f t="shared" si="55"/>
        <v>8.3</v>
      </c>
      <c r="AB44" s="17" t="s">
        <v>57</v>
      </c>
      <c r="AC44" s="17" t="s">
        <v>128</v>
      </c>
      <c r="AD44" s="15">
        <v>146.0</v>
      </c>
      <c r="AE44" s="3" t="s">
        <v>129</v>
      </c>
      <c r="AF44" s="15">
        <v>241.0</v>
      </c>
      <c r="AG44" s="3" t="s">
        <v>67</v>
      </c>
      <c r="AH44" s="17">
        <v>5.0</v>
      </c>
      <c r="AI44" s="23">
        <v>46036.0</v>
      </c>
      <c r="AJ44" s="17" t="s">
        <v>62</v>
      </c>
      <c r="AK44" s="16">
        <v>0.51875</v>
      </c>
      <c r="AL44" s="15">
        <v>4755.0</v>
      </c>
      <c r="AM44" s="15">
        <v>94.0</v>
      </c>
      <c r="AN44" s="15">
        <v>1016.0</v>
      </c>
      <c r="AO44" s="15">
        <f t="shared" si="54"/>
        <v>92</v>
      </c>
      <c r="AP44" s="15">
        <v>214.0</v>
      </c>
      <c r="AQ44" s="17">
        <v>5.0</v>
      </c>
      <c r="AR44" s="15">
        <v>1.0</v>
      </c>
      <c r="AS44" s="17">
        <v>197.0</v>
      </c>
      <c r="AT44" s="17">
        <v>8.0</v>
      </c>
      <c r="AU44" s="17">
        <v>20.0</v>
      </c>
      <c r="AV44" s="17">
        <v>0.0</v>
      </c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</row>
    <row r="45" ht="22.5" customHeight="1">
      <c r="A45" s="9" t="s">
        <v>125</v>
      </c>
      <c r="B45" s="9" t="s">
        <v>67</v>
      </c>
      <c r="C45" s="9" t="s">
        <v>126</v>
      </c>
      <c r="D45" s="9" t="s">
        <v>75</v>
      </c>
      <c r="E45" s="33" t="s">
        <v>52</v>
      </c>
      <c r="F45" s="33">
        <v>162.0</v>
      </c>
      <c r="G45" s="33">
        <v>265.0</v>
      </c>
      <c r="H45" s="34">
        <v>46032.0</v>
      </c>
      <c r="I45" s="35">
        <v>0.5222222222222223</v>
      </c>
      <c r="J45" s="36">
        <v>2630.0</v>
      </c>
      <c r="K45" s="36">
        <v>17085.0</v>
      </c>
      <c r="L45" s="37">
        <v>73.0</v>
      </c>
      <c r="M45" s="37" t="s">
        <v>131</v>
      </c>
      <c r="N45" s="37">
        <v>36.0</v>
      </c>
      <c r="O45" s="19">
        <f t="shared" si="2"/>
        <v>43</v>
      </c>
      <c r="P45" s="21">
        <v>587.0</v>
      </c>
      <c r="Q45" s="9" t="s">
        <v>69</v>
      </c>
      <c r="R45" s="13" t="s">
        <v>70</v>
      </c>
      <c r="S45" s="21" t="s">
        <v>71</v>
      </c>
      <c r="T45" s="22">
        <v>8.0</v>
      </c>
      <c r="U45" s="19">
        <v>10.0</v>
      </c>
      <c r="V45" s="22">
        <v>8.0</v>
      </c>
      <c r="W45" s="19">
        <v>9.0</v>
      </c>
      <c r="X45" s="22">
        <v>8.5</v>
      </c>
      <c r="Y45" s="19">
        <v>9.0</v>
      </c>
      <c r="Z45" s="13">
        <f t="shared" ref="Z45:AA45" si="56">ROUND(0.4*T45 + 0.35*V45 + 0.25*X45, 2)</f>
        <v>8.13</v>
      </c>
      <c r="AA45" s="13">
        <f t="shared" si="56"/>
        <v>9.4</v>
      </c>
      <c r="AB45" s="21" t="s">
        <v>57</v>
      </c>
      <c r="AC45" s="21" t="s">
        <v>128</v>
      </c>
      <c r="AD45" s="19">
        <v>146.0</v>
      </c>
      <c r="AE45" s="9" t="s">
        <v>129</v>
      </c>
      <c r="AF45" s="19">
        <v>241.0</v>
      </c>
      <c r="AG45" s="9" t="s">
        <v>67</v>
      </c>
      <c r="AH45" s="21">
        <v>5.0</v>
      </c>
      <c r="AI45" s="24">
        <v>46036.0</v>
      </c>
      <c r="AJ45" s="21" t="s">
        <v>62</v>
      </c>
      <c r="AK45" s="20">
        <v>0.51875</v>
      </c>
      <c r="AL45" s="19">
        <v>4755.0</v>
      </c>
      <c r="AM45" s="19">
        <v>94.0</v>
      </c>
      <c r="AN45" s="19">
        <v>1016.0</v>
      </c>
      <c r="AO45" s="19">
        <f t="shared" si="54"/>
        <v>92</v>
      </c>
      <c r="AP45" s="19">
        <v>214.0</v>
      </c>
      <c r="AQ45" s="21">
        <v>5.0</v>
      </c>
      <c r="AR45" s="19">
        <v>1.0</v>
      </c>
      <c r="AS45" s="21">
        <v>197.0</v>
      </c>
      <c r="AT45" s="21">
        <v>8.0</v>
      </c>
      <c r="AU45" s="21">
        <v>20.0</v>
      </c>
      <c r="AV45" s="21">
        <v>0.0</v>
      </c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</row>
    <row r="46" ht="22.5" customHeight="1">
      <c r="A46" s="3" t="s">
        <v>132</v>
      </c>
      <c r="B46" s="3" t="s">
        <v>73</v>
      </c>
      <c r="C46" s="3" t="s">
        <v>133</v>
      </c>
      <c r="D46" s="3" t="s">
        <v>75</v>
      </c>
      <c r="E46" s="15" t="s">
        <v>52</v>
      </c>
      <c r="F46" s="27">
        <v>49.0</v>
      </c>
      <c r="G46" s="27">
        <v>306.0</v>
      </c>
      <c r="H46" s="28">
        <v>46037.0</v>
      </c>
      <c r="I46" s="29">
        <v>0.7736111111111111</v>
      </c>
      <c r="J46" s="46">
        <v>368.0</v>
      </c>
      <c r="K46" s="46">
        <v>2321.0</v>
      </c>
      <c r="L46" s="47">
        <v>20.0</v>
      </c>
      <c r="M46" s="47" t="s">
        <v>75</v>
      </c>
      <c r="N46" s="47">
        <v>8.0</v>
      </c>
      <c r="O46" s="15">
        <f t="shared" si="2"/>
        <v>10</v>
      </c>
      <c r="P46" s="17">
        <v>838.0</v>
      </c>
      <c r="Q46" s="3" t="s">
        <v>54</v>
      </c>
      <c r="R46" s="7" t="s">
        <v>55</v>
      </c>
      <c r="S46" s="17" t="s">
        <v>56</v>
      </c>
      <c r="T46" s="18">
        <v>9.5</v>
      </c>
      <c r="U46" s="15">
        <v>10.0</v>
      </c>
      <c r="V46" s="18">
        <v>9.0</v>
      </c>
      <c r="W46" s="15">
        <v>10.0</v>
      </c>
      <c r="X46" s="18">
        <v>9.5</v>
      </c>
      <c r="Y46" s="15">
        <v>8.0</v>
      </c>
      <c r="Z46" s="7">
        <f t="shared" ref="Z46:AA46" si="57">ROUND(0.4*T46 + 0.35*V46 + 0.25*X46, 2)</f>
        <v>9.33</v>
      </c>
      <c r="AA46" s="7">
        <f t="shared" si="57"/>
        <v>9.5</v>
      </c>
      <c r="AB46" s="17" t="s">
        <v>77</v>
      </c>
      <c r="AC46" s="17" t="s">
        <v>128</v>
      </c>
      <c r="AD46" s="15">
        <v>96.0</v>
      </c>
      <c r="AE46" s="3" t="s">
        <v>59</v>
      </c>
      <c r="AF46" s="15">
        <v>244.0</v>
      </c>
      <c r="AG46" s="3" t="s">
        <v>73</v>
      </c>
      <c r="AH46" s="17">
        <v>5.0</v>
      </c>
      <c r="AI46" s="23">
        <v>46039.0</v>
      </c>
      <c r="AJ46" s="17" t="s">
        <v>79</v>
      </c>
      <c r="AK46" s="16">
        <v>0.38263888888888886</v>
      </c>
      <c r="AL46" s="15">
        <v>4787.0</v>
      </c>
      <c r="AM46" s="15">
        <v>95.0</v>
      </c>
      <c r="AN46" s="15">
        <v>1022.0</v>
      </c>
      <c r="AO46" s="15">
        <f t="shared" ref="AO46:AO49" si="59">60+33</f>
        <v>93</v>
      </c>
      <c r="AP46" s="15">
        <v>15636.0</v>
      </c>
      <c r="AQ46" s="17">
        <v>128.0</v>
      </c>
      <c r="AR46" s="15">
        <v>3.0</v>
      </c>
      <c r="AS46" s="17">
        <v>990.0</v>
      </c>
      <c r="AT46" s="17">
        <v>44.0</v>
      </c>
      <c r="AU46" s="17">
        <v>188.0</v>
      </c>
      <c r="AV46" s="17">
        <v>1.0</v>
      </c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</row>
    <row r="47" ht="22.5" customHeight="1">
      <c r="A47" s="9" t="s">
        <v>132</v>
      </c>
      <c r="B47" s="9" t="s">
        <v>60</v>
      </c>
      <c r="C47" s="9" t="s">
        <v>133</v>
      </c>
      <c r="D47" s="9" t="s">
        <v>75</v>
      </c>
      <c r="E47" s="19" t="s">
        <v>52</v>
      </c>
      <c r="F47" s="33">
        <v>6.0</v>
      </c>
      <c r="G47" s="33">
        <v>34.0</v>
      </c>
      <c r="H47" s="34">
        <v>46037.0</v>
      </c>
      <c r="I47" s="35">
        <v>0.7777777777777778</v>
      </c>
      <c r="J47" s="48">
        <v>105.0</v>
      </c>
      <c r="K47" s="48">
        <v>719.0</v>
      </c>
      <c r="L47" s="49">
        <v>8.0</v>
      </c>
      <c r="M47" s="49" t="s">
        <v>134</v>
      </c>
      <c r="N47" s="49">
        <v>3.0</v>
      </c>
      <c r="O47" s="19">
        <f t="shared" si="2"/>
        <v>10</v>
      </c>
      <c r="P47" s="21">
        <v>208.0</v>
      </c>
      <c r="Q47" s="9" t="s">
        <v>64</v>
      </c>
      <c r="R47" s="13" t="s">
        <v>55</v>
      </c>
      <c r="S47" s="21" t="s">
        <v>56</v>
      </c>
      <c r="T47" s="22">
        <v>9.0</v>
      </c>
      <c r="U47" s="19">
        <v>10.0</v>
      </c>
      <c r="V47" s="22">
        <v>8.5</v>
      </c>
      <c r="W47" s="19">
        <v>9.0</v>
      </c>
      <c r="X47" s="22">
        <v>8.0</v>
      </c>
      <c r="Y47" s="19">
        <v>6.0</v>
      </c>
      <c r="Z47" s="13">
        <f t="shared" ref="Z47:AA47" si="58">ROUND(0.4*T47 + 0.35*V47 + 0.25*X47, 2)</f>
        <v>8.58</v>
      </c>
      <c r="AA47" s="13">
        <f t="shared" si="58"/>
        <v>8.65</v>
      </c>
      <c r="AB47" s="21" t="s">
        <v>77</v>
      </c>
      <c r="AC47" s="21" t="s">
        <v>128</v>
      </c>
      <c r="AD47" s="19">
        <v>96.0</v>
      </c>
      <c r="AE47" s="9" t="s">
        <v>59</v>
      </c>
      <c r="AF47" s="19">
        <v>244.0</v>
      </c>
      <c r="AG47" s="9" t="s">
        <v>73</v>
      </c>
      <c r="AH47" s="21">
        <v>5.0</v>
      </c>
      <c r="AI47" s="24">
        <v>46039.0</v>
      </c>
      <c r="AJ47" s="21" t="s">
        <v>79</v>
      </c>
      <c r="AK47" s="20">
        <v>0.38263888888888886</v>
      </c>
      <c r="AL47" s="19">
        <v>4787.0</v>
      </c>
      <c r="AM47" s="19">
        <v>95.0</v>
      </c>
      <c r="AN47" s="19">
        <v>1022.0</v>
      </c>
      <c r="AO47" s="19">
        <f t="shared" si="59"/>
        <v>93</v>
      </c>
      <c r="AP47" s="19">
        <v>15636.0</v>
      </c>
      <c r="AQ47" s="21">
        <v>128.0</v>
      </c>
      <c r="AR47" s="19">
        <v>3.0</v>
      </c>
      <c r="AS47" s="21">
        <v>990.0</v>
      </c>
      <c r="AT47" s="21">
        <v>44.0</v>
      </c>
      <c r="AU47" s="21">
        <v>188.0</v>
      </c>
      <c r="AV47" s="21">
        <v>1.0</v>
      </c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</row>
    <row r="48" ht="22.5" customHeight="1">
      <c r="A48" s="3" t="s">
        <v>132</v>
      </c>
      <c r="B48" s="3" t="s">
        <v>65</v>
      </c>
      <c r="C48" s="3" t="s">
        <v>133</v>
      </c>
      <c r="D48" s="3" t="s">
        <v>75</v>
      </c>
      <c r="E48" s="15" t="s">
        <v>52</v>
      </c>
      <c r="F48" s="27">
        <v>95.0</v>
      </c>
      <c r="G48" s="27">
        <v>111.0</v>
      </c>
      <c r="H48" s="28">
        <v>46037.0</v>
      </c>
      <c r="I48" s="29">
        <v>0.7777777777777778</v>
      </c>
      <c r="J48" s="46">
        <v>255.0</v>
      </c>
      <c r="K48" s="46">
        <v>1663.0</v>
      </c>
      <c r="L48" s="47">
        <v>22.0</v>
      </c>
      <c r="M48" s="47" t="s">
        <v>135</v>
      </c>
      <c r="N48" s="47">
        <v>10.0</v>
      </c>
      <c r="O48" s="15">
        <f t="shared" si="2"/>
        <v>10</v>
      </c>
      <c r="P48" s="17">
        <v>190.0</v>
      </c>
      <c r="Q48" s="3" t="s">
        <v>66</v>
      </c>
      <c r="R48" s="7" t="s">
        <v>55</v>
      </c>
      <c r="S48" s="17" t="s">
        <v>56</v>
      </c>
      <c r="T48" s="18">
        <v>0.0</v>
      </c>
      <c r="U48" s="15">
        <v>1.0</v>
      </c>
      <c r="V48" s="18">
        <v>0.0</v>
      </c>
      <c r="W48" s="15">
        <v>1.0</v>
      </c>
      <c r="X48" s="18">
        <v>0.0</v>
      </c>
      <c r="Y48" s="15">
        <v>1.0</v>
      </c>
      <c r="Z48" s="7">
        <f t="shared" ref="Z48:AA48" si="60">ROUND(0.4*T48 + 0.35*V48 + 0.25*X48, 2)</f>
        <v>0</v>
      </c>
      <c r="AA48" s="7">
        <f t="shared" si="60"/>
        <v>1</v>
      </c>
      <c r="AB48" s="17" t="s">
        <v>77</v>
      </c>
      <c r="AC48" s="17" t="s">
        <v>128</v>
      </c>
      <c r="AD48" s="15">
        <v>96.0</v>
      </c>
      <c r="AE48" s="3" t="s">
        <v>59</v>
      </c>
      <c r="AF48" s="15">
        <v>244.0</v>
      </c>
      <c r="AG48" s="3" t="s">
        <v>73</v>
      </c>
      <c r="AH48" s="17">
        <v>5.0</v>
      </c>
      <c r="AI48" s="23">
        <v>46039.0</v>
      </c>
      <c r="AJ48" s="17" t="s">
        <v>79</v>
      </c>
      <c r="AK48" s="16">
        <v>0.38263888888888886</v>
      </c>
      <c r="AL48" s="15">
        <v>4787.0</v>
      </c>
      <c r="AM48" s="15">
        <v>95.0</v>
      </c>
      <c r="AN48" s="15">
        <v>1022.0</v>
      </c>
      <c r="AO48" s="15">
        <f t="shared" si="59"/>
        <v>93</v>
      </c>
      <c r="AP48" s="15">
        <v>15636.0</v>
      </c>
      <c r="AQ48" s="17">
        <v>128.0</v>
      </c>
      <c r="AR48" s="15">
        <v>3.0</v>
      </c>
      <c r="AS48" s="17">
        <v>990.0</v>
      </c>
      <c r="AT48" s="17">
        <v>44.0</v>
      </c>
      <c r="AU48" s="17">
        <v>188.0</v>
      </c>
      <c r="AV48" s="17">
        <v>1.0</v>
      </c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</row>
    <row r="49" ht="22.5" customHeight="1">
      <c r="A49" s="9" t="s">
        <v>132</v>
      </c>
      <c r="B49" s="9" t="s">
        <v>67</v>
      </c>
      <c r="C49" s="9" t="s">
        <v>133</v>
      </c>
      <c r="D49" s="9" t="s">
        <v>75</v>
      </c>
      <c r="E49" s="19" t="s">
        <v>52</v>
      </c>
      <c r="F49" s="33">
        <v>8.0</v>
      </c>
      <c r="G49" s="33">
        <v>163.0</v>
      </c>
      <c r="H49" s="34">
        <v>46037.0</v>
      </c>
      <c r="I49" s="35">
        <v>0.78125</v>
      </c>
      <c r="J49" s="48">
        <v>173.0</v>
      </c>
      <c r="K49" s="48">
        <v>1079.0</v>
      </c>
      <c r="L49" s="49">
        <v>3.0</v>
      </c>
      <c r="M49" s="49" t="s">
        <v>136</v>
      </c>
      <c r="N49" s="49">
        <v>5.0</v>
      </c>
      <c r="O49" s="19">
        <f t="shared" si="2"/>
        <v>10</v>
      </c>
      <c r="P49" s="21">
        <v>1254.0</v>
      </c>
      <c r="Q49" s="9" t="s">
        <v>69</v>
      </c>
      <c r="R49" s="13" t="s">
        <v>70</v>
      </c>
      <c r="S49" s="21" t="s">
        <v>56</v>
      </c>
      <c r="T49" s="22">
        <v>4.0</v>
      </c>
      <c r="U49" s="19">
        <v>10.0</v>
      </c>
      <c r="V49" s="22">
        <v>4.0</v>
      </c>
      <c r="W49" s="19">
        <v>10.0</v>
      </c>
      <c r="X49" s="22">
        <v>4.0</v>
      </c>
      <c r="Y49" s="19">
        <v>9.0</v>
      </c>
      <c r="Z49" s="13">
        <f t="shared" ref="Z49:AA49" si="61">ROUND(0.4*T49 + 0.35*V49 + 0.25*X49, 2)</f>
        <v>4</v>
      </c>
      <c r="AA49" s="13">
        <f t="shared" si="61"/>
        <v>9.75</v>
      </c>
      <c r="AB49" s="21" t="s">
        <v>77</v>
      </c>
      <c r="AC49" s="21" t="s">
        <v>128</v>
      </c>
      <c r="AD49" s="19">
        <v>96.0</v>
      </c>
      <c r="AE49" s="9" t="s">
        <v>59</v>
      </c>
      <c r="AF49" s="19">
        <v>244.0</v>
      </c>
      <c r="AG49" s="9" t="s">
        <v>73</v>
      </c>
      <c r="AH49" s="21">
        <v>5.0</v>
      </c>
      <c r="AI49" s="24">
        <v>46039.0</v>
      </c>
      <c r="AJ49" s="21" t="s">
        <v>79</v>
      </c>
      <c r="AK49" s="20">
        <v>0.38263888888888886</v>
      </c>
      <c r="AL49" s="19">
        <v>4787.0</v>
      </c>
      <c r="AM49" s="19">
        <v>95.0</v>
      </c>
      <c r="AN49" s="19">
        <v>1022.0</v>
      </c>
      <c r="AO49" s="19">
        <f t="shared" si="59"/>
        <v>93</v>
      </c>
      <c r="AP49" s="19">
        <v>15636.0</v>
      </c>
      <c r="AQ49" s="21">
        <v>128.0</v>
      </c>
      <c r="AR49" s="19">
        <v>3.0</v>
      </c>
      <c r="AS49" s="21">
        <v>990.0</v>
      </c>
      <c r="AT49" s="21">
        <v>44.0</v>
      </c>
      <c r="AU49" s="21">
        <v>188.0</v>
      </c>
      <c r="AV49" s="21">
        <v>1.0</v>
      </c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</row>
    <row r="50" ht="22.5" customHeight="1">
      <c r="A50" s="17" t="s">
        <v>137</v>
      </c>
      <c r="B50" s="3" t="s">
        <v>73</v>
      </c>
      <c r="C50" s="3" t="s">
        <v>138</v>
      </c>
      <c r="D50" s="4" t="s">
        <v>51</v>
      </c>
      <c r="E50" s="27" t="s">
        <v>93</v>
      </c>
      <c r="F50" s="27">
        <v>274.0</v>
      </c>
      <c r="G50" s="27">
        <v>780.0</v>
      </c>
      <c r="H50" s="28">
        <v>46042.0</v>
      </c>
      <c r="I50" s="29">
        <v>0.475</v>
      </c>
      <c r="J50" s="30">
        <v>851.0</v>
      </c>
      <c r="K50" s="30">
        <v>5588.0</v>
      </c>
      <c r="L50" s="31">
        <v>51.0</v>
      </c>
      <c r="M50" s="31" t="s">
        <v>139</v>
      </c>
      <c r="N50" s="31">
        <v>21.0</v>
      </c>
      <c r="O50" s="15">
        <f t="shared" si="2"/>
        <v>123</v>
      </c>
      <c r="P50" s="17">
        <v>1422.0</v>
      </c>
      <c r="Q50" s="3" t="s">
        <v>54</v>
      </c>
      <c r="R50" s="7" t="s">
        <v>55</v>
      </c>
      <c r="S50" s="17" t="s">
        <v>56</v>
      </c>
      <c r="T50" s="18">
        <v>8.5</v>
      </c>
      <c r="U50" s="15">
        <v>5.0</v>
      </c>
      <c r="V50" s="18">
        <v>9.5</v>
      </c>
      <c r="W50" s="15">
        <v>10.0</v>
      </c>
      <c r="X50" s="18">
        <v>9.0</v>
      </c>
      <c r="Y50" s="15">
        <v>9.0</v>
      </c>
      <c r="Z50" s="7">
        <f t="shared" ref="Z50:AA50" si="62">ROUND(0.4*T50 + 0.35*V50 + 0.25*X50, 2)</f>
        <v>8.98</v>
      </c>
      <c r="AA50" s="7">
        <f t="shared" si="62"/>
        <v>7.75</v>
      </c>
      <c r="AB50" s="17" t="s">
        <v>77</v>
      </c>
      <c r="AC50" s="17" t="s">
        <v>140</v>
      </c>
      <c r="AD50" s="15">
        <v>101.0</v>
      </c>
      <c r="AE50" s="3" t="s">
        <v>59</v>
      </c>
      <c r="AF50" s="15">
        <v>287.0</v>
      </c>
      <c r="AG50" s="3" t="s">
        <v>60</v>
      </c>
      <c r="AH50" s="17">
        <v>5.0</v>
      </c>
      <c r="AI50" s="23">
        <v>46043.0</v>
      </c>
      <c r="AJ50" s="17" t="s">
        <v>62</v>
      </c>
      <c r="AK50" s="16">
        <v>0.7534722222222222</v>
      </c>
      <c r="AL50" s="15">
        <v>4833.0</v>
      </c>
      <c r="AM50" s="15">
        <v>96.0</v>
      </c>
      <c r="AN50" s="15">
        <v>1026.0</v>
      </c>
      <c r="AO50" s="15">
        <f t="shared" ref="AO50:AO53" si="64">60+30</f>
        <v>90</v>
      </c>
      <c r="AP50" s="15">
        <v>2093.0</v>
      </c>
      <c r="AQ50" s="17">
        <v>19.0</v>
      </c>
      <c r="AR50" s="15">
        <v>1.0</v>
      </c>
      <c r="AS50" s="17">
        <v>774.0</v>
      </c>
      <c r="AT50" s="17">
        <v>42.0</v>
      </c>
      <c r="AU50" s="17">
        <v>85.0</v>
      </c>
      <c r="AV50" s="17">
        <v>0.0</v>
      </c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</row>
    <row r="51" ht="22.5" customHeight="1">
      <c r="A51" s="21" t="s">
        <v>137</v>
      </c>
      <c r="B51" s="9" t="s">
        <v>60</v>
      </c>
      <c r="C51" s="9" t="s">
        <v>138</v>
      </c>
      <c r="D51" s="10" t="s">
        <v>51</v>
      </c>
      <c r="E51" s="33" t="s">
        <v>93</v>
      </c>
      <c r="F51" s="33">
        <v>20.0</v>
      </c>
      <c r="G51" s="33">
        <v>69.0</v>
      </c>
      <c r="H51" s="34">
        <v>46042.0</v>
      </c>
      <c r="I51" s="35">
        <v>0.4840277777777778</v>
      </c>
      <c r="J51" s="36">
        <v>369.0</v>
      </c>
      <c r="K51" s="36">
        <v>2316.0</v>
      </c>
      <c r="L51" s="37">
        <v>25.0</v>
      </c>
      <c r="M51" s="37" t="s">
        <v>101</v>
      </c>
      <c r="N51" s="37">
        <v>10.0</v>
      </c>
      <c r="O51" s="19">
        <f t="shared" si="2"/>
        <v>123</v>
      </c>
      <c r="P51" s="21">
        <v>506.0</v>
      </c>
      <c r="Q51" s="9" t="s">
        <v>64</v>
      </c>
      <c r="R51" s="13" t="s">
        <v>55</v>
      </c>
      <c r="S51" s="21" t="s">
        <v>56</v>
      </c>
      <c r="T51" s="22">
        <v>6.0</v>
      </c>
      <c r="U51" s="19">
        <v>3.0</v>
      </c>
      <c r="V51" s="22">
        <v>9.5</v>
      </c>
      <c r="W51" s="19">
        <v>10.0</v>
      </c>
      <c r="X51" s="22">
        <v>7.0</v>
      </c>
      <c r="Y51" s="19">
        <v>7.0</v>
      </c>
      <c r="Z51" s="13">
        <f t="shared" ref="Z51:AA51" si="63">ROUND(0.4*T51 + 0.35*V51 + 0.25*X51, 2)</f>
        <v>7.48</v>
      </c>
      <c r="AA51" s="13">
        <f t="shared" si="63"/>
        <v>6.45</v>
      </c>
      <c r="AB51" s="21" t="s">
        <v>77</v>
      </c>
      <c r="AC51" s="21" t="s">
        <v>140</v>
      </c>
      <c r="AD51" s="19">
        <v>101.0</v>
      </c>
      <c r="AE51" s="9" t="s">
        <v>59</v>
      </c>
      <c r="AF51" s="19">
        <v>287.0</v>
      </c>
      <c r="AG51" s="9" t="s">
        <v>60</v>
      </c>
      <c r="AH51" s="21">
        <v>5.0</v>
      </c>
      <c r="AI51" s="24">
        <v>46043.0</v>
      </c>
      <c r="AJ51" s="21" t="s">
        <v>62</v>
      </c>
      <c r="AK51" s="20">
        <v>0.7534722222222222</v>
      </c>
      <c r="AL51" s="19">
        <v>4833.0</v>
      </c>
      <c r="AM51" s="19">
        <v>96.0</v>
      </c>
      <c r="AN51" s="19">
        <v>1026.0</v>
      </c>
      <c r="AO51" s="19">
        <f t="shared" si="64"/>
        <v>90</v>
      </c>
      <c r="AP51" s="19">
        <v>2093.0</v>
      </c>
      <c r="AQ51" s="21">
        <v>19.0</v>
      </c>
      <c r="AR51" s="19">
        <v>1.0</v>
      </c>
      <c r="AS51" s="21">
        <v>774.0</v>
      </c>
      <c r="AT51" s="21">
        <v>42.0</v>
      </c>
      <c r="AU51" s="21">
        <v>85.0</v>
      </c>
      <c r="AV51" s="21">
        <v>0.0</v>
      </c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</row>
    <row r="52" ht="22.5" customHeight="1">
      <c r="A52" s="17" t="s">
        <v>137</v>
      </c>
      <c r="B52" s="3" t="s">
        <v>65</v>
      </c>
      <c r="C52" s="3" t="s">
        <v>138</v>
      </c>
      <c r="D52" s="4" t="s">
        <v>51</v>
      </c>
      <c r="E52" s="27" t="s">
        <v>93</v>
      </c>
      <c r="F52" s="27">
        <v>175.0</v>
      </c>
      <c r="G52" s="27">
        <v>203.0</v>
      </c>
      <c r="H52" s="28">
        <v>46042.0</v>
      </c>
      <c r="I52" s="29">
        <v>0.48541666666666666</v>
      </c>
      <c r="J52" s="30">
        <v>612.0</v>
      </c>
      <c r="K52" s="30">
        <v>4034.0</v>
      </c>
      <c r="L52" s="31">
        <v>44.0</v>
      </c>
      <c r="M52" s="31" t="s">
        <v>141</v>
      </c>
      <c r="N52" s="31">
        <v>26.0</v>
      </c>
      <c r="O52" s="15">
        <f t="shared" si="2"/>
        <v>123</v>
      </c>
      <c r="P52" s="17">
        <v>366.0</v>
      </c>
      <c r="Q52" s="3" t="s">
        <v>66</v>
      </c>
      <c r="R52" s="7" t="s">
        <v>55</v>
      </c>
      <c r="S52" s="17" t="s">
        <v>56</v>
      </c>
      <c r="T52" s="18">
        <v>8.6</v>
      </c>
      <c r="U52" s="15">
        <v>5.0</v>
      </c>
      <c r="V52" s="18">
        <v>9.5</v>
      </c>
      <c r="W52" s="15">
        <v>10.0</v>
      </c>
      <c r="X52" s="18">
        <v>9.1</v>
      </c>
      <c r="Y52" s="15">
        <v>8.0</v>
      </c>
      <c r="Z52" s="7">
        <f t="shared" ref="Z52:AA52" si="65">ROUND(0.4*T52 + 0.35*V52 + 0.25*X52, 2)</f>
        <v>9.04</v>
      </c>
      <c r="AA52" s="7">
        <f t="shared" si="65"/>
        <v>7.5</v>
      </c>
      <c r="AB52" s="17" t="s">
        <v>77</v>
      </c>
      <c r="AC52" s="17" t="s">
        <v>140</v>
      </c>
      <c r="AD52" s="15">
        <v>101.0</v>
      </c>
      <c r="AE52" s="3" t="s">
        <v>59</v>
      </c>
      <c r="AF52" s="15">
        <v>287.0</v>
      </c>
      <c r="AG52" s="3" t="s">
        <v>60</v>
      </c>
      <c r="AH52" s="17">
        <v>5.0</v>
      </c>
      <c r="AI52" s="23">
        <v>46043.0</v>
      </c>
      <c r="AJ52" s="17" t="s">
        <v>62</v>
      </c>
      <c r="AK52" s="16">
        <v>0.7534722222222222</v>
      </c>
      <c r="AL52" s="15">
        <v>4833.0</v>
      </c>
      <c r="AM52" s="15">
        <v>96.0</v>
      </c>
      <c r="AN52" s="15">
        <v>1026.0</v>
      </c>
      <c r="AO52" s="15">
        <f t="shared" si="64"/>
        <v>90</v>
      </c>
      <c r="AP52" s="15">
        <v>2093.0</v>
      </c>
      <c r="AQ52" s="17">
        <v>19.0</v>
      </c>
      <c r="AR52" s="15">
        <v>1.0</v>
      </c>
      <c r="AS52" s="17">
        <v>774.0</v>
      </c>
      <c r="AT52" s="17">
        <v>42.0</v>
      </c>
      <c r="AU52" s="17">
        <v>85.0</v>
      </c>
      <c r="AV52" s="17">
        <v>0.0</v>
      </c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</row>
    <row r="53" ht="22.5" customHeight="1">
      <c r="A53" s="21" t="s">
        <v>137</v>
      </c>
      <c r="B53" s="9" t="s">
        <v>67</v>
      </c>
      <c r="C53" s="9" t="s">
        <v>138</v>
      </c>
      <c r="D53" s="10" t="s">
        <v>51</v>
      </c>
      <c r="E53" s="33" t="s">
        <v>93</v>
      </c>
      <c r="F53" s="33">
        <v>15.0</v>
      </c>
      <c r="G53" s="33">
        <v>201.0</v>
      </c>
      <c r="H53" s="34">
        <v>46042.0</v>
      </c>
      <c r="I53" s="35">
        <v>0.4875</v>
      </c>
      <c r="J53" s="36">
        <v>235.0</v>
      </c>
      <c r="K53" s="36">
        <v>1751.0</v>
      </c>
      <c r="L53" s="37">
        <v>2.0</v>
      </c>
      <c r="M53" s="37" t="s">
        <v>142</v>
      </c>
      <c r="N53" s="37">
        <v>8.0</v>
      </c>
      <c r="O53" s="19">
        <f t="shared" si="2"/>
        <v>123</v>
      </c>
      <c r="P53" s="21">
        <v>1085.0</v>
      </c>
      <c r="Q53" s="9" t="s">
        <v>69</v>
      </c>
      <c r="R53" s="13" t="s">
        <v>70</v>
      </c>
      <c r="S53" s="21" t="s">
        <v>71</v>
      </c>
      <c r="T53" s="22">
        <v>9.0</v>
      </c>
      <c r="U53" s="19">
        <v>10.0</v>
      </c>
      <c r="V53" s="22">
        <v>9.5</v>
      </c>
      <c r="W53" s="19">
        <v>10.0</v>
      </c>
      <c r="X53" s="22">
        <v>9.5</v>
      </c>
      <c r="Y53" s="19">
        <v>9.0</v>
      </c>
      <c r="Z53" s="13">
        <f t="shared" ref="Z53:AA53" si="66">ROUND(0.4*T53 + 0.35*V53 + 0.25*X53, 2)</f>
        <v>9.3</v>
      </c>
      <c r="AA53" s="13">
        <f t="shared" si="66"/>
        <v>9.75</v>
      </c>
      <c r="AB53" s="21" t="s">
        <v>77</v>
      </c>
      <c r="AC53" s="21" t="s">
        <v>140</v>
      </c>
      <c r="AD53" s="19">
        <v>101.0</v>
      </c>
      <c r="AE53" s="9" t="s">
        <v>59</v>
      </c>
      <c r="AF53" s="19">
        <v>287.0</v>
      </c>
      <c r="AG53" s="9" t="s">
        <v>60</v>
      </c>
      <c r="AH53" s="21">
        <v>5.0</v>
      </c>
      <c r="AI53" s="24">
        <v>46043.0</v>
      </c>
      <c r="AJ53" s="21" t="s">
        <v>62</v>
      </c>
      <c r="AK53" s="20">
        <v>0.7534722222222222</v>
      </c>
      <c r="AL53" s="19">
        <v>4833.0</v>
      </c>
      <c r="AM53" s="19">
        <v>96.0</v>
      </c>
      <c r="AN53" s="19">
        <v>1026.0</v>
      </c>
      <c r="AO53" s="19">
        <f t="shared" si="64"/>
        <v>90</v>
      </c>
      <c r="AP53" s="19">
        <v>2093.0</v>
      </c>
      <c r="AQ53" s="21">
        <v>19.0</v>
      </c>
      <c r="AR53" s="19">
        <v>1.0</v>
      </c>
      <c r="AS53" s="21">
        <v>774.0</v>
      </c>
      <c r="AT53" s="21">
        <v>42.0</v>
      </c>
      <c r="AU53" s="21">
        <v>85.0</v>
      </c>
      <c r="AV53" s="21">
        <v>0.0</v>
      </c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</row>
    <row r="54" ht="22.5" customHeight="1">
      <c r="A54" s="17" t="s">
        <v>143</v>
      </c>
      <c r="B54" s="3" t="s">
        <v>73</v>
      </c>
      <c r="C54" s="3" t="s">
        <v>144</v>
      </c>
      <c r="D54" s="3" t="s">
        <v>75</v>
      </c>
      <c r="E54" s="15" t="s">
        <v>52</v>
      </c>
      <c r="F54" s="27">
        <v>17.0</v>
      </c>
      <c r="G54" s="27">
        <v>112.0</v>
      </c>
      <c r="H54" s="28">
        <v>46044.0</v>
      </c>
      <c r="I54" s="29">
        <v>0.78125</v>
      </c>
      <c r="J54" s="15">
        <v>148.0</v>
      </c>
      <c r="K54" s="15">
        <v>927.0</v>
      </c>
      <c r="L54" s="17">
        <v>11.0</v>
      </c>
      <c r="M54" s="17" t="s">
        <v>139</v>
      </c>
      <c r="N54" s="17">
        <v>4.0</v>
      </c>
      <c r="O54" s="15">
        <f t="shared" si="2"/>
        <v>19</v>
      </c>
      <c r="P54" s="17">
        <v>549.0</v>
      </c>
      <c r="Q54" s="3" t="s">
        <v>54</v>
      </c>
      <c r="R54" s="7" t="s">
        <v>55</v>
      </c>
      <c r="S54" s="17" t="s">
        <v>56</v>
      </c>
      <c r="T54" s="18">
        <v>6.0</v>
      </c>
      <c r="U54" s="15">
        <v>10.0</v>
      </c>
      <c r="V54" s="18">
        <v>6.0</v>
      </c>
      <c r="W54" s="15">
        <v>10.0</v>
      </c>
      <c r="X54" s="18">
        <v>6.0</v>
      </c>
      <c r="Y54" s="15">
        <v>10.0</v>
      </c>
      <c r="Z54" s="7">
        <f t="shared" ref="Z54:AA54" si="67">ROUND(0.4*T54 + 0.35*V54 + 0.25*X54, 2)</f>
        <v>6</v>
      </c>
      <c r="AA54" s="7">
        <f t="shared" si="67"/>
        <v>10</v>
      </c>
      <c r="AB54" s="17" t="s">
        <v>57</v>
      </c>
      <c r="AC54" s="17" t="s">
        <v>112</v>
      </c>
      <c r="AD54" s="15">
        <v>97.0</v>
      </c>
      <c r="AE54" s="3" t="s">
        <v>59</v>
      </c>
      <c r="AF54" s="15">
        <v>229.0</v>
      </c>
      <c r="AG54" s="3" t="s">
        <v>67</v>
      </c>
      <c r="AH54" s="17">
        <v>5.0</v>
      </c>
      <c r="AI54" s="23">
        <v>46046.0</v>
      </c>
      <c r="AJ54" s="17" t="s">
        <v>79</v>
      </c>
      <c r="AK54" s="16">
        <v>0.3819444444444444</v>
      </c>
      <c r="AL54" s="15">
        <v>4836.0</v>
      </c>
      <c r="AM54" s="15">
        <v>96.0</v>
      </c>
      <c r="AN54" s="15">
        <v>1026.0</v>
      </c>
      <c r="AO54" s="15">
        <f t="shared" ref="AO54:AO57" si="69">60+17</f>
        <v>77</v>
      </c>
      <c r="AP54" s="15">
        <v>5502.0</v>
      </c>
      <c r="AQ54" s="17">
        <v>39.0</v>
      </c>
      <c r="AR54" s="15">
        <v>2.0</v>
      </c>
      <c r="AS54" s="17">
        <v>835.0</v>
      </c>
      <c r="AT54" s="17">
        <v>48.0</v>
      </c>
      <c r="AU54" s="17">
        <v>208.0</v>
      </c>
      <c r="AV54" s="17">
        <v>2.0</v>
      </c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</row>
    <row r="55" ht="22.5" customHeight="1">
      <c r="A55" s="21" t="s">
        <v>143</v>
      </c>
      <c r="B55" s="9" t="s">
        <v>60</v>
      </c>
      <c r="C55" s="9" t="s">
        <v>144</v>
      </c>
      <c r="D55" s="9" t="s">
        <v>75</v>
      </c>
      <c r="E55" s="19" t="s">
        <v>52</v>
      </c>
      <c r="F55" s="33">
        <v>17.0</v>
      </c>
      <c r="G55" s="33">
        <v>38.0</v>
      </c>
      <c r="H55" s="34">
        <v>46044.0</v>
      </c>
      <c r="I55" s="35">
        <v>0.7826388888888889</v>
      </c>
      <c r="J55" s="19">
        <v>334.0</v>
      </c>
      <c r="K55" s="19">
        <v>2098.0</v>
      </c>
      <c r="L55" s="21">
        <v>23.0</v>
      </c>
      <c r="M55" s="21" t="s">
        <v>101</v>
      </c>
      <c r="N55" s="21">
        <v>8.0</v>
      </c>
      <c r="O55" s="19">
        <f t="shared" si="2"/>
        <v>19</v>
      </c>
      <c r="P55" s="21">
        <v>191.0</v>
      </c>
      <c r="Q55" s="9" t="s">
        <v>64</v>
      </c>
      <c r="R55" s="13" t="s">
        <v>55</v>
      </c>
      <c r="S55" s="21" t="s">
        <v>56</v>
      </c>
      <c r="T55" s="22">
        <v>9.5</v>
      </c>
      <c r="U55" s="19">
        <v>10.0</v>
      </c>
      <c r="V55" s="22">
        <v>9.5</v>
      </c>
      <c r="W55" s="19">
        <v>10.0</v>
      </c>
      <c r="X55" s="22">
        <v>9.5</v>
      </c>
      <c r="Y55" s="19">
        <v>10.0</v>
      </c>
      <c r="Z55" s="13">
        <f t="shared" ref="Z55:AA55" si="68">ROUND(0.4*T55 + 0.35*V55 + 0.25*X55, 2)</f>
        <v>9.5</v>
      </c>
      <c r="AA55" s="13">
        <f t="shared" si="68"/>
        <v>10</v>
      </c>
      <c r="AB55" s="21" t="s">
        <v>57</v>
      </c>
      <c r="AC55" s="21" t="s">
        <v>112</v>
      </c>
      <c r="AD55" s="19">
        <v>97.0</v>
      </c>
      <c r="AE55" s="9" t="s">
        <v>59</v>
      </c>
      <c r="AF55" s="19">
        <v>229.0</v>
      </c>
      <c r="AG55" s="9" t="s">
        <v>67</v>
      </c>
      <c r="AH55" s="21">
        <v>5.0</v>
      </c>
      <c r="AI55" s="24">
        <v>46046.0</v>
      </c>
      <c r="AJ55" s="21" t="s">
        <v>79</v>
      </c>
      <c r="AK55" s="20">
        <v>0.3819444444444444</v>
      </c>
      <c r="AL55" s="19">
        <v>4836.0</v>
      </c>
      <c r="AM55" s="19">
        <v>96.0</v>
      </c>
      <c r="AN55" s="19">
        <v>1026.0</v>
      </c>
      <c r="AO55" s="19">
        <f t="shared" si="69"/>
        <v>77</v>
      </c>
      <c r="AP55" s="19">
        <v>5502.0</v>
      </c>
      <c r="AQ55" s="21">
        <v>39.0</v>
      </c>
      <c r="AR55" s="19">
        <v>2.0</v>
      </c>
      <c r="AS55" s="21">
        <v>835.0</v>
      </c>
      <c r="AT55" s="21">
        <v>48.0</v>
      </c>
      <c r="AU55" s="21">
        <v>208.0</v>
      </c>
      <c r="AV55" s="21">
        <v>2.0</v>
      </c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</row>
    <row r="56" ht="22.5" customHeight="1">
      <c r="A56" s="17" t="s">
        <v>143</v>
      </c>
      <c r="B56" s="3" t="s">
        <v>65</v>
      </c>
      <c r="C56" s="3" t="s">
        <v>144</v>
      </c>
      <c r="D56" s="3" t="s">
        <v>75</v>
      </c>
      <c r="E56" s="15" t="s">
        <v>52</v>
      </c>
      <c r="F56" s="27">
        <v>88.0</v>
      </c>
      <c r="G56" s="27">
        <v>97.0</v>
      </c>
      <c r="H56" s="28">
        <v>46044.0</v>
      </c>
      <c r="I56" s="29">
        <v>0.7861111111111111</v>
      </c>
      <c r="J56" s="15">
        <v>337.0</v>
      </c>
      <c r="K56" s="15">
        <v>2147.0</v>
      </c>
      <c r="L56" s="17">
        <v>24.0</v>
      </c>
      <c r="M56" s="17" t="s">
        <v>145</v>
      </c>
      <c r="N56" s="17">
        <v>9.0</v>
      </c>
      <c r="O56" s="15">
        <f t="shared" si="2"/>
        <v>19</v>
      </c>
      <c r="P56" s="17">
        <v>113.0</v>
      </c>
      <c r="Q56" s="3" t="s">
        <v>66</v>
      </c>
      <c r="R56" s="7" t="s">
        <v>55</v>
      </c>
      <c r="S56" s="17" t="s">
        <v>56</v>
      </c>
      <c r="T56" s="18">
        <v>0.0</v>
      </c>
      <c r="U56" s="15">
        <v>1.0</v>
      </c>
      <c r="V56" s="18">
        <v>0.0</v>
      </c>
      <c r="W56" s="15">
        <v>1.0</v>
      </c>
      <c r="X56" s="18">
        <v>0.0</v>
      </c>
      <c r="Y56" s="15">
        <v>1.0</v>
      </c>
      <c r="Z56" s="7">
        <f t="shared" ref="Z56:AA56" si="70">ROUND(0.4*T56 + 0.35*V56 + 0.25*X56, 2)</f>
        <v>0</v>
      </c>
      <c r="AA56" s="7">
        <f t="shared" si="70"/>
        <v>1</v>
      </c>
      <c r="AB56" s="17" t="s">
        <v>57</v>
      </c>
      <c r="AC56" s="17" t="s">
        <v>112</v>
      </c>
      <c r="AD56" s="15">
        <v>97.0</v>
      </c>
      <c r="AE56" s="3" t="s">
        <v>59</v>
      </c>
      <c r="AF56" s="15">
        <v>229.0</v>
      </c>
      <c r="AG56" s="3" t="s">
        <v>67</v>
      </c>
      <c r="AH56" s="17">
        <v>5.0</v>
      </c>
      <c r="AI56" s="23">
        <v>46046.0</v>
      </c>
      <c r="AJ56" s="17" t="s">
        <v>79</v>
      </c>
      <c r="AK56" s="16">
        <v>0.3819444444444444</v>
      </c>
      <c r="AL56" s="15">
        <v>4836.0</v>
      </c>
      <c r="AM56" s="15">
        <v>96.0</v>
      </c>
      <c r="AN56" s="15">
        <v>1026.0</v>
      </c>
      <c r="AO56" s="15">
        <f t="shared" si="69"/>
        <v>77</v>
      </c>
      <c r="AP56" s="15">
        <v>5502.0</v>
      </c>
      <c r="AQ56" s="17">
        <v>39.0</v>
      </c>
      <c r="AR56" s="15">
        <v>2.0</v>
      </c>
      <c r="AS56" s="17">
        <v>835.0</v>
      </c>
      <c r="AT56" s="17">
        <v>48.0</v>
      </c>
      <c r="AU56" s="17">
        <v>208.0</v>
      </c>
      <c r="AV56" s="17">
        <v>2.0</v>
      </c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</row>
    <row r="57" ht="22.5" customHeight="1">
      <c r="A57" s="21" t="s">
        <v>143</v>
      </c>
      <c r="B57" s="9" t="s">
        <v>67</v>
      </c>
      <c r="C57" s="9" t="s">
        <v>144</v>
      </c>
      <c r="D57" s="9" t="s">
        <v>75</v>
      </c>
      <c r="E57" s="19" t="s">
        <v>52</v>
      </c>
      <c r="F57" s="33">
        <v>55.0</v>
      </c>
      <c r="G57" s="33">
        <v>107.0</v>
      </c>
      <c r="H57" s="34">
        <v>46044.0</v>
      </c>
      <c r="I57" s="35">
        <v>0.7888888888888889</v>
      </c>
      <c r="J57" s="19">
        <v>1415.0</v>
      </c>
      <c r="K57" s="19">
        <v>10735.0</v>
      </c>
      <c r="L57" s="21">
        <v>35.0</v>
      </c>
      <c r="M57" s="21" t="s">
        <v>120</v>
      </c>
      <c r="N57" s="21">
        <v>19.0</v>
      </c>
      <c r="O57" s="19">
        <f t="shared" si="2"/>
        <v>19</v>
      </c>
      <c r="P57" s="21">
        <v>471.0</v>
      </c>
      <c r="Q57" s="9" t="s">
        <v>69</v>
      </c>
      <c r="R57" s="13" t="s">
        <v>70</v>
      </c>
      <c r="S57" s="21" t="s">
        <v>71</v>
      </c>
      <c r="T57" s="22">
        <v>9.5</v>
      </c>
      <c r="U57" s="19">
        <v>10.0</v>
      </c>
      <c r="V57" s="22">
        <v>9.5</v>
      </c>
      <c r="W57" s="19">
        <v>10.0</v>
      </c>
      <c r="X57" s="22">
        <v>9.6</v>
      </c>
      <c r="Y57" s="19">
        <v>10.0</v>
      </c>
      <c r="Z57" s="13">
        <f t="shared" ref="Z57:AA57" si="71">ROUND(0.4*T57 + 0.35*V57 + 0.25*X57, 2)</f>
        <v>9.53</v>
      </c>
      <c r="AA57" s="13">
        <f t="shared" si="71"/>
        <v>10</v>
      </c>
      <c r="AB57" s="21" t="s">
        <v>57</v>
      </c>
      <c r="AC57" s="21" t="s">
        <v>112</v>
      </c>
      <c r="AD57" s="19">
        <v>97.0</v>
      </c>
      <c r="AE57" s="9" t="s">
        <v>59</v>
      </c>
      <c r="AF57" s="19">
        <v>229.0</v>
      </c>
      <c r="AG57" s="9" t="s">
        <v>67</v>
      </c>
      <c r="AH57" s="21">
        <v>5.0</v>
      </c>
      <c r="AI57" s="24">
        <v>46046.0</v>
      </c>
      <c r="AJ57" s="21" t="s">
        <v>79</v>
      </c>
      <c r="AK57" s="20">
        <v>0.3819444444444444</v>
      </c>
      <c r="AL57" s="19">
        <v>4836.0</v>
      </c>
      <c r="AM57" s="19">
        <v>96.0</v>
      </c>
      <c r="AN57" s="19">
        <v>1026.0</v>
      </c>
      <c r="AO57" s="19">
        <f t="shared" si="69"/>
        <v>77</v>
      </c>
      <c r="AP57" s="19">
        <v>5502.0</v>
      </c>
      <c r="AQ57" s="21">
        <v>39.0</v>
      </c>
      <c r="AR57" s="19">
        <v>2.0</v>
      </c>
      <c r="AS57" s="21">
        <v>835.0</v>
      </c>
      <c r="AT57" s="21">
        <v>48.0</v>
      </c>
      <c r="AU57" s="21">
        <v>208.0</v>
      </c>
      <c r="AV57" s="21">
        <v>2.0</v>
      </c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</row>
    <row r="58" ht="22.5" customHeight="1">
      <c r="A58" s="3" t="s">
        <v>146</v>
      </c>
      <c r="B58" s="3" t="s">
        <v>73</v>
      </c>
      <c r="C58" s="3" t="s">
        <v>147</v>
      </c>
      <c r="D58" s="3" t="s">
        <v>75</v>
      </c>
      <c r="E58" s="15" t="s">
        <v>52</v>
      </c>
      <c r="F58" s="15">
        <v>19.0</v>
      </c>
      <c r="G58" s="15">
        <v>271.0</v>
      </c>
      <c r="H58" s="23">
        <v>46050.0</v>
      </c>
      <c r="I58" s="16">
        <v>0.6993055555555555</v>
      </c>
      <c r="J58" s="15">
        <v>74.0</v>
      </c>
      <c r="K58" s="15">
        <v>520.0</v>
      </c>
      <c r="L58" s="17">
        <v>6.0</v>
      </c>
      <c r="M58" s="17" t="s">
        <v>148</v>
      </c>
      <c r="N58" s="17">
        <v>3.0</v>
      </c>
      <c r="O58" s="15">
        <f t="shared" si="2"/>
        <v>20</v>
      </c>
      <c r="P58" s="17">
        <v>837.0</v>
      </c>
      <c r="Q58" s="3" t="s">
        <v>54</v>
      </c>
      <c r="R58" s="7" t="s">
        <v>55</v>
      </c>
      <c r="S58" s="17" t="s">
        <v>56</v>
      </c>
      <c r="T58" s="18">
        <v>9.5</v>
      </c>
      <c r="U58" s="15">
        <v>10.0</v>
      </c>
      <c r="V58" s="18">
        <v>9.0</v>
      </c>
      <c r="W58" s="15">
        <v>10.0</v>
      </c>
      <c r="X58" s="18">
        <v>8.8</v>
      </c>
      <c r="Y58" s="15">
        <v>9.0</v>
      </c>
      <c r="Z58" s="7">
        <f t="shared" ref="Z58:AA58" si="72">ROUND(0.4*T58 + 0.35*V58 + 0.25*X58, 2)</f>
        <v>9.15</v>
      </c>
      <c r="AA58" s="7">
        <f t="shared" si="72"/>
        <v>9.75</v>
      </c>
      <c r="AB58" s="17" t="s">
        <v>77</v>
      </c>
      <c r="AC58" s="17" t="s">
        <v>95</v>
      </c>
      <c r="AD58" s="15">
        <v>82.0</v>
      </c>
      <c r="AE58" s="3" t="s">
        <v>59</v>
      </c>
      <c r="AF58" s="15">
        <v>257.0</v>
      </c>
      <c r="AG58" s="3" t="s">
        <v>73</v>
      </c>
      <c r="AH58" s="3" t="s">
        <v>61</v>
      </c>
      <c r="AI58" s="23">
        <v>46050.0</v>
      </c>
      <c r="AJ58" s="17" t="s">
        <v>62</v>
      </c>
      <c r="AK58" s="16">
        <v>0.7354166666666667</v>
      </c>
      <c r="AL58" s="15">
        <v>4930.0</v>
      </c>
      <c r="AM58" s="15">
        <v>97.0</v>
      </c>
      <c r="AN58" s="15">
        <v>1030.0</v>
      </c>
      <c r="AO58" s="15">
        <f t="shared" ref="AO58:AO61" si="74">60+22</f>
        <v>82</v>
      </c>
      <c r="AP58" s="15">
        <v>5502.0</v>
      </c>
      <c r="AQ58" s="17">
        <v>39.0</v>
      </c>
      <c r="AR58" s="15">
        <v>2.0</v>
      </c>
      <c r="AS58" s="17">
        <v>835.0</v>
      </c>
      <c r="AT58" s="17">
        <v>48.0</v>
      </c>
      <c r="AU58" s="17">
        <v>208.0</v>
      </c>
      <c r="AV58" s="17">
        <v>2.0</v>
      </c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</row>
    <row r="59" ht="22.5" customHeight="1">
      <c r="A59" s="9" t="s">
        <v>146</v>
      </c>
      <c r="B59" s="9" t="s">
        <v>60</v>
      </c>
      <c r="C59" s="9" t="s">
        <v>147</v>
      </c>
      <c r="D59" s="9" t="s">
        <v>75</v>
      </c>
      <c r="E59" s="19" t="s">
        <v>52</v>
      </c>
      <c r="F59" s="19">
        <v>12.0</v>
      </c>
      <c r="G59" s="19">
        <v>51.0</v>
      </c>
      <c r="H59" s="24">
        <v>46050.0</v>
      </c>
      <c r="I59" s="20">
        <v>0.7041666666666667</v>
      </c>
      <c r="J59" s="19">
        <v>265.0</v>
      </c>
      <c r="K59" s="19">
        <v>1774.0</v>
      </c>
      <c r="L59" s="21">
        <v>19.0</v>
      </c>
      <c r="M59" s="21" t="s">
        <v>101</v>
      </c>
      <c r="N59" s="21">
        <v>11.0</v>
      </c>
      <c r="O59" s="19">
        <f t="shared" si="2"/>
        <v>20</v>
      </c>
      <c r="P59" s="21">
        <v>474.0</v>
      </c>
      <c r="Q59" s="9" t="s">
        <v>64</v>
      </c>
      <c r="R59" s="13" t="s">
        <v>55</v>
      </c>
      <c r="S59" s="21" t="s">
        <v>56</v>
      </c>
      <c r="T59" s="22">
        <v>9.5</v>
      </c>
      <c r="U59" s="19">
        <v>10.0</v>
      </c>
      <c r="V59" s="22">
        <v>8.8</v>
      </c>
      <c r="W59" s="19">
        <v>10.0</v>
      </c>
      <c r="X59" s="22">
        <v>8.0</v>
      </c>
      <c r="Y59" s="19">
        <v>9.0</v>
      </c>
      <c r="Z59" s="13">
        <f t="shared" ref="Z59:AA59" si="73">ROUND(0.4*T59 + 0.35*V59 + 0.25*X59, 2)</f>
        <v>8.88</v>
      </c>
      <c r="AA59" s="13">
        <f t="shared" si="73"/>
        <v>9.75</v>
      </c>
      <c r="AB59" s="21" t="s">
        <v>77</v>
      </c>
      <c r="AC59" s="21" t="s">
        <v>95</v>
      </c>
      <c r="AD59" s="19">
        <v>82.0</v>
      </c>
      <c r="AE59" s="9" t="s">
        <v>59</v>
      </c>
      <c r="AF59" s="19">
        <v>257.0</v>
      </c>
      <c r="AG59" s="9" t="s">
        <v>73</v>
      </c>
      <c r="AH59" s="9" t="s">
        <v>61</v>
      </c>
      <c r="AI59" s="24">
        <v>46050.0</v>
      </c>
      <c r="AJ59" s="21" t="s">
        <v>62</v>
      </c>
      <c r="AK59" s="20">
        <v>0.7354166666666667</v>
      </c>
      <c r="AL59" s="19">
        <v>4930.0</v>
      </c>
      <c r="AM59" s="19">
        <v>97.0</v>
      </c>
      <c r="AN59" s="19">
        <v>1030.0</v>
      </c>
      <c r="AO59" s="19">
        <f t="shared" si="74"/>
        <v>82</v>
      </c>
      <c r="AP59" s="19">
        <v>5502.0</v>
      </c>
      <c r="AQ59" s="21">
        <v>39.0</v>
      </c>
      <c r="AR59" s="19">
        <v>2.0</v>
      </c>
      <c r="AS59" s="21">
        <v>835.0</v>
      </c>
      <c r="AT59" s="21">
        <v>48.0</v>
      </c>
      <c r="AU59" s="21">
        <v>208.0</v>
      </c>
      <c r="AV59" s="21">
        <v>2.0</v>
      </c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</row>
    <row r="60" ht="22.5" customHeight="1">
      <c r="A60" s="3" t="s">
        <v>146</v>
      </c>
      <c r="B60" s="3" t="s">
        <v>65</v>
      </c>
      <c r="C60" s="3" t="s">
        <v>147</v>
      </c>
      <c r="D60" s="3" t="s">
        <v>75</v>
      </c>
      <c r="E60" s="15" t="s">
        <v>52</v>
      </c>
      <c r="F60" s="15">
        <v>96.0</v>
      </c>
      <c r="G60" s="15">
        <v>113.0</v>
      </c>
      <c r="H60" s="23">
        <v>46050.0</v>
      </c>
      <c r="I60" s="16">
        <v>0.7048611111111112</v>
      </c>
      <c r="J60" s="15">
        <v>279.0</v>
      </c>
      <c r="K60" s="15">
        <v>1842.0</v>
      </c>
      <c r="L60" s="17">
        <v>22.0</v>
      </c>
      <c r="M60" s="17" t="s">
        <v>149</v>
      </c>
      <c r="N60" s="17">
        <v>8.0</v>
      </c>
      <c r="O60" s="15">
        <f t="shared" si="2"/>
        <v>20</v>
      </c>
      <c r="P60" s="17">
        <v>234.0</v>
      </c>
      <c r="Q60" s="3" t="s">
        <v>66</v>
      </c>
      <c r="R60" s="7" t="s">
        <v>55</v>
      </c>
      <c r="S60" s="17" t="s">
        <v>56</v>
      </c>
      <c r="T60" s="18">
        <v>7.0</v>
      </c>
      <c r="U60" s="15">
        <v>10.0</v>
      </c>
      <c r="V60" s="18">
        <v>6.0</v>
      </c>
      <c r="W60" s="15">
        <v>10.0</v>
      </c>
      <c r="X60" s="18">
        <v>5.0</v>
      </c>
      <c r="Y60" s="15">
        <v>6.0</v>
      </c>
      <c r="Z60" s="7">
        <f t="shared" ref="Z60:AA60" si="75">ROUND(0.4*T60 + 0.35*V60 + 0.25*X60, 2)</f>
        <v>6.15</v>
      </c>
      <c r="AA60" s="7">
        <f t="shared" si="75"/>
        <v>9</v>
      </c>
      <c r="AB60" s="17" t="s">
        <v>77</v>
      </c>
      <c r="AC60" s="17" t="s">
        <v>95</v>
      </c>
      <c r="AD60" s="15">
        <v>82.0</v>
      </c>
      <c r="AE60" s="3" t="s">
        <v>59</v>
      </c>
      <c r="AF60" s="15">
        <v>257.0</v>
      </c>
      <c r="AG60" s="3" t="s">
        <v>73</v>
      </c>
      <c r="AH60" s="3" t="s">
        <v>61</v>
      </c>
      <c r="AI60" s="23">
        <v>46050.0</v>
      </c>
      <c r="AJ60" s="17" t="s">
        <v>62</v>
      </c>
      <c r="AK60" s="16">
        <v>0.7354166666666667</v>
      </c>
      <c r="AL60" s="15">
        <v>4930.0</v>
      </c>
      <c r="AM60" s="15">
        <v>97.0</v>
      </c>
      <c r="AN60" s="15">
        <v>1030.0</v>
      </c>
      <c r="AO60" s="15">
        <f t="shared" si="74"/>
        <v>82</v>
      </c>
      <c r="AP60" s="15">
        <v>5502.0</v>
      </c>
      <c r="AQ60" s="17">
        <v>39.0</v>
      </c>
      <c r="AR60" s="15">
        <v>2.0</v>
      </c>
      <c r="AS60" s="17">
        <v>835.0</v>
      </c>
      <c r="AT60" s="17">
        <v>48.0</v>
      </c>
      <c r="AU60" s="17">
        <v>208.0</v>
      </c>
      <c r="AV60" s="17">
        <v>2.0</v>
      </c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</row>
    <row r="61" ht="22.5" customHeight="1">
      <c r="A61" s="9" t="s">
        <v>146</v>
      </c>
      <c r="B61" s="9" t="s">
        <v>67</v>
      </c>
      <c r="C61" s="9" t="s">
        <v>147</v>
      </c>
      <c r="D61" s="9" t="s">
        <v>75</v>
      </c>
      <c r="E61" s="19" t="s">
        <v>52</v>
      </c>
      <c r="F61" s="19">
        <v>9.0</v>
      </c>
      <c r="G61" s="19">
        <v>76.0</v>
      </c>
      <c r="H61" s="24">
        <v>46050.0</v>
      </c>
      <c r="I61" s="20">
        <v>0.70625</v>
      </c>
      <c r="J61" s="19">
        <v>127.0</v>
      </c>
      <c r="K61" s="19">
        <v>774.0</v>
      </c>
      <c r="L61" s="21">
        <v>2.0</v>
      </c>
      <c r="M61" s="21" t="s">
        <v>150</v>
      </c>
      <c r="N61" s="21">
        <v>3.0</v>
      </c>
      <c r="O61" s="19">
        <f t="shared" si="2"/>
        <v>20</v>
      </c>
      <c r="P61" s="21">
        <v>702.0</v>
      </c>
      <c r="Q61" s="9" t="s">
        <v>69</v>
      </c>
      <c r="R61" s="13" t="s">
        <v>70</v>
      </c>
      <c r="S61" s="21" t="s">
        <v>56</v>
      </c>
      <c r="T61" s="22">
        <v>9.5</v>
      </c>
      <c r="U61" s="19">
        <v>10.0</v>
      </c>
      <c r="V61" s="22">
        <v>8.9</v>
      </c>
      <c r="W61" s="19">
        <v>10.0</v>
      </c>
      <c r="X61" s="22">
        <v>9.0</v>
      </c>
      <c r="Y61" s="19">
        <v>8.0</v>
      </c>
      <c r="Z61" s="13">
        <f t="shared" ref="Z61:AA61" si="76">ROUND(0.4*T61 + 0.35*V61 + 0.25*X61, 2)</f>
        <v>9.17</v>
      </c>
      <c r="AA61" s="13">
        <f t="shared" si="76"/>
        <v>9.5</v>
      </c>
      <c r="AB61" s="21" t="s">
        <v>77</v>
      </c>
      <c r="AC61" s="21" t="s">
        <v>95</v>
      </c>
      <c r="AD61" s="19">
        <v>82.0</v>
      </c>
      <c r="AE61" s="9" t="s">
        <v>59</v>
      </c>
      <c r="AF61" s="19">
        <v>257.0</v>
      </c>
      <c r="AG61" s="9" t="s">
        <v>73</v>
      </c>
      <c r="AH61" s="9" t="s">
        <v>61</v>
      </c>
      <c r="AI61" s="24">
        <v>46050.0</v>
      </c>
      <c r="AJ61" s="21" t="s">
        <v>62</v>
      </c>
      <c r="AK61" s="20">
        <v>0.7354166666666667</v>
      </c>
      <c r="AL61" s="19">
        <v>4930.0</v>
      </c>
      <c r="AM61" s="19">
        <v>97.0</v>
      </c>
      <c r="AN61" s="19">
        <v>1030.0</v>
      </c>
      <c r="AO61" s="19">
        <f t="shared" si="74"/>
        <v>82</v>
      </c>
      <c r="AP61" s="19">
        <v>5502.0</v>
      </c>
      <c r="AQ61" s="21">
        <v>39.0</v>
      </c>
      <c r="AR61" s="19">
        <v>2.0</v>
      </c>
      <c r="AS61" s="21">
        <v>835.0</v>
      </c>
      <c r="AT61" s="21">
        <v>48.0</v>
      </c>
      <c r="AU61" s="21">
        <v>208.0</v>
      </c>
      <c r="AV61" s="21">
        <v>2.0</v>
      </c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</row>
    <row r="62" ht="22.5" customHeight="1">
      <c r="A62" s="3" t="s">
        <v>151</v>
      </c>
      <c r="B62" s="3" t="s">
        <v>73</v>
      </c>
      <c r="C62" s="3" t="s">
        <v>152</v>
      </c>
      <c r="D62" s="3" t="s">
        <v>51</v>
      </c>
      <c r="E62" s="27" t="s">
        <v>93</v>
      </c>
      <c r="F62" s="15">
        <v>250.0</v>
      </c>
      <c r="G62" s="15">
        <v>366.0</v>
      </c>
      <c r="H62" s="23">
        <v>46053.0</v>
      </c>
      <c r="I62" s="16">
        <v>0.44166666666666665</v>
      </c>
      <c r="J62" s="15">
        <v>2346.0</v>
      </c>
      <c r="K62" s="15">
        <v>18679.0</v>
      </c>
      <c r="L62" s="17">
        <v>70.0</v>
      </c>
      <c r="M62" s="17" t="s">
        <v>153</v>
      </c>
      <c r="N62" s="17">
        <v>27.0</v>
      </c>
      <c r="O62" s="15">
        <f t="shared" si="2"/>
        <v>36</v>
      </c>
      <c r="P62" s="17">
        <v>537.0</v>
      </c>
      <c r="Q62" s="3" t="s">
        <v>54</v>
      </c>
      <c r="R62" s="7" t="s">
        <v>55</v>
      </c>
      <c r="S62" s="17" t="s">
        <v>71</v>
      </c>
      <c r="T62" s="18">
        <v>5.0</v>
      </c>
      <c r="U62" s="15">
        <v>3.0</v>
      </c>
      <c r="V62" s="18">
        <v>5.0</v>
      </c>
      <c r="W62" s="15">
        <v>2.0</v>
      </c>
      <c r="X62" s="18">
        <v>5.0</v>
      </c>
      <c r="Y62" s="15">
        <v>8.0</v>
      </c>
      <c r="Z62" s="7">
        <f t="shared" ref="Z62:AA62" si="77">ROUND(0.4*T62 + 0.35*V62 + 0.25*X62, 2)</f>
        <v>5</v>
      </c>
      <c r="AA62" s="7">
        <f t="shared" si="77"/>
        <v>3.9</v>
      </c>
      <c r="AB62" s="17" t="s">
        <v>57</v>
      </c>
      <c r="AC62" s="17" t="s">
        <v>128</v>
      </c>
      <c r="AD62" s="15">
        <v>87.0</v>
      </c>
      <c r="AE62" s="3" t="s">
        <v>59</v>
      </c>
      <c r="AF62" s="15">
        <v>251.0</v>
      </c>
      <c r="AG62" s="3" t="s">
        <v>60</v>
      </c>
      <c r="AH62" s="3" t="s">
        <v>61</v>
      </c>
      <c r="AI62" s="23">
        <v>46053.0</v>
      </c>
      <c r="AJ62" s="17" t="s">
        <v>79</v>
      </c>
      <c r="AK62" s="16">
        <v>0.49236111111111114</v>
      </c>
      <c r="AL62" s="15">
        <v>4961.0</v>
      </c>
      <c r="AM62" s="15">
        <v>97.0</v>
      </c>
      <c r="AN62" s="15">
        <v>1034.0</v>
      </c>
      <c r="AO62" s="15">
        <f t="shared" ref="AO62:AO65" si="79">60+52</f>
        <v>112</v>
      </c>
      <c r="AP62" s="15">
        <v>346.0</v>
      </c>
      <c r="AQ62" s="17">
        <v>8.0</v>
      </c>
      <c r="AR62" s="15">
        <v>0.0</v>
      </c>
      <c r="AS62" s="17">
        <v>197.0</v>
      </c>
      <c r="AT62" s="17">
        <v>3.0</v>
      </c>
      <c r="AU62" s="17">
        <v>165.0</v>
      </c>
      <c r="AV62" s="17">
        <v>0.0</v>
      </c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</row>
    <row r="63" ht="22.5" customHeight="1">
      <c r="A63" s="9" t="s">
        <v>151</v>
      </c>
      <c r="B63" s="9" t="s">
        <v>60</v>
      </c>
      <c r="C63" s="9" t="s">
        <v>152</v>
      </c>
      <c r="D63" s="9" t="s">
        <v>51</v>
      </c>
      <c r="E63" s="33" t="s">
        <v>93</v>
      </c>
      <c r="F63" s="19">
        <v>24.0</v>
      </c>
      <c r="G63" s="19">
        <v>56.0</v>
      </c>
      <c r="H63" s="24">
        <v>46053.0</v>
      </c>
      <c r="I63" s="20">
        <v>0.4465277777777778</v>
      </c>
      <c r="J63" s="19">
        <v>574.0</v>
      </c>
      <c r="K63" s="19">
        <v>3566.0</v>
      </c>
      <c r="L63" s="21">
        <v>32.0</v>
      </c>
      <c r="M63" s="21" t="s">
        <v>101</v>
      </c>
      <c r="N63" s="21">
        <v>18.0</v>
      </c>
      <c r="O63" s="19">
        <f t="shared" si="2"/>
        <v>36</v>
      </c>
      <c r="P63" s="21">
        <v>367.0</v>
      </c>
      <c r="Q63" s="9" t="s">
        <v>64</v>
      </c>
      <c r="R63" s="13" t="s">
        <v>55</v>
      </c>
      <c r="S63" s="21" t="s">
        <v>56</v>
      </c>
      <c r="T63" s="22">
        <v>7.5</v>
      </c>
      <c r="U63" s="19">
        <v>10.0</v>
      </c>
      <c r="V63" s="22">
        <v>7.0</v>
      </c>
      <c r="W63" s="19">
        <v>8.0</v>
      </c>
      <c r="X63" s="22">
        <v>8.5</v>
      </c>
      <c r="Y63" s="19">
        <v>8.0</v>
      </c>
      <c r="Z63" s="13">
        <f t="shared" ref="Z63:AA63" si="78">ROUND(0.4*T63 + 0.35*V63 + 0.25*X63, 2)</f>
        <v>7.58</v>
      </c>
      <c r="AA63" s="13">
        <f t="shared" si="78"/>
        <v>8.8</v>
      </c>
      <c r="AB63" s="21" t="s">
        <v>57</v>
      </c>
      <c r="AC63" s="21" t="s">
        <v>128</v>
      </c>
      <c r="AD63" s="19">
        <v>87.0</v>
      </c>
      <c r="AE63" s="9" t="s">
        <v>59</v>
      </c>
      <c r="AF63" s="19">
        <v>251.0</v>
      </c>
      <c r="AG63" s="9" t="s">
        <v>60</v>
      </c>
      <c r="AH63" s="9" t="s">
        <v>61</v>
      </c>
      <c r="AI63" s="24">
        <v>46053.0</v>
      </c>
      <c r="AJ63" s="21" t="s">
        <v>79</v>
      </c>
      <c r="AK63" s="20">
        <v>0.49236111111111114</v>
      </c>
      <c r="AL63" s="19">
        <v>4961.0</v>
      </c>
      <c r="AM63" s="19">
        <v>97.0</v>
      </c>
      <c r="AN63" s="19">
        <v>1034.0</v>
      </c>
      <c r="AO63" s="19">
        <f t="shared" si="79"/>
        <v>112</v>
      </c>
      <c r="AP63" s="19">
        <v>346.0</v>
      </c>
      <c r="AQ63" s="21">
        <v>8.0</v>
      </c>
      <c r="AR63" s="19">
        <v>0.0</v>
      </c>
      <c r="AS63" s="21">
        <v>197.0</v>
      </c>
      <c r="AT63" s="21">
        <v>3.0</v>
      </c>
      <c r="AU63" s="21">
        <v>165.0</v>
      </c>
      <c r="AV63" s="21">
        <v>0.0</v>
      </c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</row>
    <row r="64" ht="22.5" customHeight="1">
      <c r="A64" s="3" t="s">
        <v>151</v>
      </c>
      <c r="B64" s="3" t="s">
        <v>65</v>
      </c>
      <c r="C64" s="3" t="s">
        <v>152</v>
      </c>
      <c r="D64" s="3" t="s">
        <v>51</v>
      </c>
      <c r="E64" s="27" t="s">
        <v>93</v>
      </c>
      <c r="F64" s="15">
        <v>232.0</v>
      </c>
      <c r="G64" s="15">
        <v>252.0</v>
      </c>
      <c r="H64" s="23">
        <v>46053.0</v>
      </c>
      <c r="I64" s="16">
        <v>0.44722222222222224</v>
      </c>
      <c r="J64" s="15">
        <v>553.0</v>
      </c>
      <c r="K64" s="15">
        <v>3544.0</v>
      </c>
      <c r="L64" s="17">
        <v>43.0</v>
      </c>
      <c r="M64" s="17" t="s">
        <v>114</v>
      </c>
      <c r="N64" s="17">
        <v>22.0</v>
      </c>
      <c r="O64" s="15">
        <f t="shared" si="2"/>
        <v>36</v>
      </c>
      <c r="P64" s="17">
        <v>215.0</v>
      </c>
      <c r="Q64" s="3" t="s">
        <v>66</v>
      </c>
      <c r="R64" s="7" t="s">
        <v>55</v>
      </c>
      <c r="S64" s="17" t="s">
        <v>56</v>
      </c>
      <c r="T64" s="18">
        <v>7.0</v>
      </c>
      <c r="U64" s="15">
        <v>4.0</v>
      </c>
      <c r="V64" s="18">
        <v>6.0</v>
      </c>
      <c r="W64" s="15">
        <v>2.0</v>
      </c>
      <c r="X64" s="18">
        <v>7.0</v>
      </c>
      <c r="Y64" s="15">
        <v>3.0</v>
      </c>
      <c r="Z64" s="7">
        <f t="shared" ref="Z64:AA64" si="80">ROUND(0.4*T64 + 0.35*V64 + 0.25*X64, 2)</f>
        <v>6.65</v>
      </c>
      <c r="AA64" s="7">
        <f t="shared" si="80"/>
        <v>3.05</v>
      </c>
      <c r="AB64" s="17" t="s">
        <v>57</v>
      </c>
      <c r="AC64" s="17" t="s">
        <v>128</v>
      </c>
      <c r="AD64" s="15">
        <v>87.0</v>
      </c>
      <c r="AE64" s="3" t="s">
        <v>59</v>
      </c>
      <c r="AF64" s="15">
        <v>251.0</v>
      </c>
      <c r="AG64" s="3" t="s">
        <v>60</v>
      </c>
      <c r="AH64" s="3" t="s">
        <v>61</v>
      </c>
      <c r="AI64" s="23">
        <v>46053.0</v>
      </c>
      <c r="AJ64" s="17" t="s">
        <v>79</v>
      </c>
      <c r="AK64" s="16">
        <v>0.49236111111111114</v>
      </c>
      <c r="AL64" s="15">
        <v>4961.0</v>
      </c>
      <c r="AM64" s="15">
        <v>97.0</v>
      </c>
      <c r="AN64" s="15">
        <v>1034.0</v>
      </c>
      <c r="AO64" s="15">
        <f t="shared" si="79"/>
        <v>112</v>
      </c>
      <c r="AP64" s="15">
        <v>346.0</v>
      </c>
      <c r="AQ64" s="17">
        <v>8.0</v>
      </c>
      <c r="AR64" s="15">
        <v>0.0</v>
      </c>
      <c r="AS64" s="17">
        <v>197.0</v>
      </c>
      <c r="AT64" s="17">
        <v>3.0</v>
      </c>
      <c r="AU64" s="17">
        <v>165.0</v>
      </c>
      <c r="AV64" s="17">
        <v>0.0</v>
      </c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</row>
    <row r="65" ht="22.5" customHeight="1">
      <c r="A65" s="9" t="s">
        <v>151</v>
      </c>
      <c r="B65" s="9" t="s">
        <v>67</v>
      </c>
      <c r="C65" s="9" t="s">
        <v>152</v>
      </c>
      <c r="D65" s="9" t="s">
        <v>51</v>
      </c>
      <c r="E65" s="33" t="s">
        <v>93</v>
      </c>
      <c r="F65" s="19">
        <v>71.0</v>
      </c>
      <c r="G65" s="19">
        <v>167.0</v>
      </c>
      <c r="H65" s="24">
        <v>46053.0</v>
      </c>
      <c r="I65" s="20">
        <v>0.45555555555555555</v>
      </c>
      <c r="J65" s="19">
        <v>1655.0</v>
      </c>
      <c r="K65" s="19">
        <v>12779.0</v>
      </c>
      <c r="L65" s="21">
        <v>44.0</v>
      </c>
      <c r="M65" s="21" t="s">
        <v>114</v>
      </c>
      <c r="N65" s="21">
        <v>25.0</v>
      </c>
      <c r="O65" s="19">
        <f t="shared" si="2"/>
        <v>36</v>
      </c>
      <c r="P65" s="21">
        <v>862.0</v>
      </c>
      <c r="Q65" s="9" t="s">
        <v>69</v>
      </c>
      <c r="R65" s="13" t="s">
        <v>70</v>
      </c>
      <c r="S65" s="21" t="s">
        <v>71</v>
      </c>
      <c r="T65" s="22">
        <v>9.5</v>
      </c>
      <c r="U65" s="19">
        <v>10.0</v>
      </c>
      <c r="V65" s="22">
        <v>9.5</v>
      </c>
      <c r="W65" s="19">
        <v>9.0</v>
      </c>
      <c r="X65" s="22">
        <v>9.0</v>
      </c>
      <c r="Y65" s="19">
        <v>9.0</v>
      </c>
      <c r="Z65" s="13">
        <f t="shared" ref="Z65:AA65" si="81">ROUND(0.4*T65 + 0.35*V65 + 0.25*X65, 2)</f>
        <v>9.38</v>
      </c>
      <c r="AA65" s="13">
        <f t="shared" si="81"/>
        <v>9.4</v>
      </c>
      <c r="AB65" s="21" t="s">
        <v>57</v>
      </c>
      <c r="AC65" s="21" t="s">
        <v>128</v>
      </c>
      <c r="AD65" s="19">
        <v>87.0</v>
      </c>
      <c r="AE65" s="9" t="s">
        <v>59</v>
      </c>
      <c r="AF65" s="19">
        <v>251.0</v>
      </c>
      <c r="AG65" s="9" t="s">
        <v>60</v>
      </c>
      <c r="AH65" s="9" t="s">
        <v>61</v>
      </c>
      <c r="AI65" s="24">
        <v>46053.0</v>
      </c>
      <c r="AJ65" s="21" t="s">
        <v>79</v>
      </c>
      <c r="AK65" s="20">
        <v>0.49236111111111114</v>
      </c>
      <c r="AL65" s="19">
        <v>4961.0</v>
      </c>
      <c r="AM65" s="19">
        <v>97.0</v>
      </c>
      <c r="AN65" s="19">
        <v>1034.0</v>
      </c>
      <c r="AO65" s="19">
        <f t="shared" si="79"/>
        <v>112</v>
      </c>
      <c r="AP65" s="19">
        <v>346.0</v>
      </c>
      <c r="AQ65" s="21">
        <v>8.0</v>
      </c>
      <c r="AR65" s="19">
        <v>0.0</v>
      </c>
      <c r="AS65" s="21">
        <v>197.0</v>
      </c>
      <c r="AT65" s="21">
        <v>3.0</v>
      </c>
      <c r="AU65" s="21">
        <v>165.0</v>
      </c>
      <c r="AV65" s="21">
        <v>0.0</v>
      </c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</row>
    <row r="66" ht="22.5" customHeight="1">
      <c r="A66" s="3" t="s">
        <v>154</v>
      </c>
      <c r="B66" s="3" t="s">
        <v>73</v>
      </c>
      <c r="C66" s="3" t="s">
        <v>155</v>
      </c>
      <c r="D66" s="3" t="s">
        <v>75</v>
      </c>
      <c r="E66" s="15" t="s">
        <v>52</v>
      </c>
      <c r="F66" s="15">
        <v>22.0</v>
      </c>
      <c r="G66" s="15">
        <v>160.0</v>
      </c>
      <c r="H66" s="23">
        <v>46056.0</v>
      </c>
      <c r="I66" s="16">
        <v>0.8055555555555556</v>
      </c>
      <c r="J66" s="15">
        <v>162.0</v>
      </c>
      <c r="K66" s="15">
        <v>976.0</v>
      </c>
      <c r="L66" s="17">
        <v>11.0</v>
      </c>
      <c r="M66" s="17" t="s">
        <v>135</v>
      </c>
      <c r="N66" s="17">
        <v>5.0</v>
      </c>
      <c r="O66" s="15">
        <f t="shared" si="2"/>
        <v>18</v>
      </c>
      <c r="P66" s="17">
        <v>711.0</v>
      </c>
      <c r="Q66" s="3" t="s">
        <v>54</v>
      </c>
      <c r="R66" s="7" t="s">
        <v>55</v>
      </c>
      <c r="S66" s="17" t="s">
        <v>56</v>
      </c>
      <c r="T66" s="18">
        <v>9.5</v>
      </c>
      <c r="U66" s="15">
        <v>10.0</v>
      </c>
      <c r="V66" s="18">
        <v>9.0</v>
      </c>
      <c r="W66" s="15">
        <v>10.0</v>
      </c>
      <c r="X66" s="18">
        <v>9.0</v>
      </c>
      <c r="Y66" s="15">
        <v>9.0</v>
      </c>
      <c r="Z66" s="7">
        <f t="shared" ref="Z66:AA66" si="82">ROUND(0.4*T66 + 0.35*V66 + 0.25*X66, 2)</f>
        <v>9.2</v>
      </c>
      <c r="AA66" s="7">
        <f t="shared" si="82"/>
        <v>9.75</v>
      </c>
      <c r="AB66" s="17" t="s">
        <v>57</v>
      </c>
      <c r="AC66" s="17" t="s">
        <v>128</v>
      </c>
      <c r="AD66" s="15">
        <v>146.0</v>
      </c>
      <c r="AE66" s="3" t="s">
        <v>129</v>
      </c>
      <c r="AF66" s="15">
        <v>240.0</v>
      </c>
      <c r="AG66" s="3" t="s">
        <v>67</v>
      </c>
      <c r="AH66" s="3" t="s">
        <v>61</v>
      </c>
      <c r="AI66" s="23">
        <v>46057.0</v>
      </c>
      <c r="AJ66" s="17" t="s">
        <v>62</v>
      </c>
      <c r="AK66" s="16">
        <v>0.8354166666666667</v>
      </c>
      <c r="AL66" s="15">
        <v>5143.0</v>
      </c>
      <c r="AM66" s="15">
        <v>95.0</v>
      </c>
      <c r="AN66" s="15">
        <v>1038.0</v>
      </c>
      <c r="AO66" s="15">
        <f t="shared" ref="AO66:AO69" si="84">60+21</f>
        <v>81</v>
      </c>
      <c r="AP66" s="15">
        <v>851.0</v>
      </c>
      <c r="AQ66" s="17">
        <v>13.0</v>
      </c>
      <c r="AR66" s="15">
        <v>0.0</v>
      </c>
      <c r="AS66" s="17">
        <v>315.0</v>
      </c>
      <c r="AT66" s="17">
        <v>6.0</v>
      </c>
      <c r="AU66" s="17">
        <v>16.0</v>
      </c>
      <c r="AV66" s="17">
        <v>0.0</v>
      </c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</row>
    <row r="67" ht="22.5" customHeight="1">
      <c r="A67" s="9" t="s">
        <v>154</v>
      </c>
      <c r="B67" s="9" t="s">
        <v>60</v>
      </c>
      <c r="C67" s="9" t="s">
        <v>155</v>
      </c>
      <c r="D67" s="9" t="s">
        <v>75</v>
      </c>
      <c r="E67" s="19" t="s">
        <v>52</v>
      </c>
      <c r="F67" s="19">
        <v>18.0</v>
      </c>
      <c r="G67" s="19">
        <v>62.0</v>
      </c>
      <c r="H67" s="24">
        <v>46056.0</v>
      </c>
      <c r="I67" s="20">
        <v>0.8076388888888889</v>
      </c>
      <c r="J67" s="19">
        <v>290.0</v>
      </c>
      <c r="K67" s="19">
        <v>1916.0</v>
      </c>
      <c r="L67" s="21">
        <v>23.0</v>
      </c>
      <c r="M67" s="21" t="s">
        <v>101</v>
      </c>
      <c r="N67" s="21">
        <v>8.0</v>
      </c>
      <c r="O67" s="19">
        <f t="shared" si="2"/>
        <v>18</v>
      </c>
      <c r="P67" s="21">
        <v>509.0</v>
      </c>
      <c r="Q67" s="9" t="s">
        <v>64</v>
      </c>
      <c r="R67" s="13" t="s">
        <v>55</v>
      </c>
      <c r="S67" s="21" t="s">
        <v>56</v>
      </c>
      <c r="T67" s="22">
        <v>1.0</v>
      </c>
      <c r="U67" s="19">
        <v>10.0</v>
      </c>
      <c r="V67" s="22">
        <v>0.0</v>
      </c>
      <c r="W67" s="19">
        <v>6.0</v>
      </c>
      <c r="X67" s="22">
        <v>4.0</v>
      </c>
      <c r="Y67" s="19">
        <v>9.0</v>
      </c>
      <c r="Z67" s="13">
        <f t="shared" ref="Z67:AA67" si="83">ROUND(0.4*T67 + 0.35*V67 + 0.25*X67, 2)</f>
        <v>1.4</v>
      </c>
      <c r="AA67" s="13">
        <f t="shared" si="83"/>
        <v>8.35</v>
      </c>
      <c r="AB67" s="21" t="s">
        <v>57</v>
      </c>
      <c r="AC67" s="21" t="s">
        <v>128</v>
      </c>
      <c r="AD67" s="19">
        <v>146.0</v>
      </c>
      <c r="AE67" s="9" t="s">
        <v>129</v>
      </c>
      <c r="AF67" s="19">
        <v>240.0</v>
      </c>
      <c r="AG67" s="9" t="s">
        <v>67</v>
      </c>
      <c r="AH67" s="9" t="s">
        <v>61</v>
      </c>
      <c r="AI67" s="24">
        <v>46057.0</v>
      </c>
      <c r="AJ67" s="21" t="s">
        <v>62</v>
      </c>
      <c r="AK67" s="20">
        <v>0.8354166666666667</v>
      </c>
      <c r="AL67" s="19">
        <v>5143.0</v>
      </c>
      <c r="AM67" s="19">
        <v>95.0</v>
      </c>
      <c r="AN67" s="19">
        <v>1038.0</v>
      </c>
      <c r="AO67" s="19">
        <f t="shared" si="84"/>
        <v>81</v>
      </c>
      <c r="AP67" s="19">
        <v>851.0</v>
      </c>
      <c r="AQ67" s="21">
        <v>13.0</v>
      </c>
      <c r="AR67" s="19">
        <v>0.0</v>
      </c>
      <c r="AS67" s="21">
        <v>315.0</v>
      </c>
      <c r="AT67" s="21">
        <v>6.0</v>
      </c>
      <c r="AU67" s="21">
        <v>16.0</v>
      </c>
      <c r="AV67" s="21">
        <v>0.0</v>
      </c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</row>
    <row r="68" ht="22.5" customHeight="1">
      <c r="A68" s="3" t="s">
        <v>154</v>
      </c>
      <c r="B68" s="3" t="s">
        <v>65</v>
      </c>
      <c r="C68" s="3" t="s">
        <v>155</v>
      </c>
      <c r="D68" s="3" t="s">
        <v>75</v>
      </c>
      <c r="E68" s="15" t="s">
        <v>52</v>
      </c>
      <c r="F68" s="15">
        <v>123.0</v>
      </c>
      <c r="G68" s="15">
        <v>144.0</v>
      </c>
      <c r="H68" s="23">
        <v>46056.0</v>
      </c>
      <c r="I68" s="16">
        <v>0.8083333333333333</v>
      </c>
      <c r="J68" s="15">
        <v>367.0</v>
      </c>
      <c r="K68" s="15">
        <v>2376.0</v>
      </c>
      <c r="L68" s="17">
        <v>31.0</v>
      </c>
      <c r="M68" s="17" t="s">
        <v>135</v>
      </c>
      <c r="N68" s="17">
        <v>9.0</v>
      </c>
      <c r="O68" s="15">
        <f t="shared" si="2"/>
        <v>18</v>
      </c>
      <c r="P68" s="17">
        <v>158.0</v>
      </c>
      <c r="Q68" s="3" t="s">
        <v>66</v>
      </c>
      <c r="R68" s="7" t="s">
        <v>55</v>
      </c>
      <c r="S68" s="17" t="s">
        <v>56</v>
      </c>
      <c r="T68" s="18">
        <v>9.5</v>
      </c>
      <c r="U68" s="15">
        <v>10.0</v>
      </c>
      <c r="V68" s="18">
        <v>9.2</v>
      </c>
      <c r="W68" s="15">
        <v>6.0</v>
      </c>
      <c r="X68" s="18">
        <v>8.5</v>
      </c>
      <c r="Y68" s="15">
        <v>8.0</v>
      </c>
      <c r="Z68" s="7">
        <f t="shared" ref="Z68:AA68" si="85">ROUND(0.4*T68 + 0.35*V68 + 0.25*X68, 2)</f>
        <v>9.15</v>
      </c>
      <c r="AA68" s="7">
        <f t="shared" si="85"/>
        <v>8.1</v>
      </c>
      <c r="AB68" s="17" t="s">
        <v>57</v>
      </c>
      <c r="AC68" s="17" t="s">
        <v>128</v>
      </c>
      <c r="AD68" s="15">
        <v>146.0</v>
      </c>
      <c r="AE68" s="3" t="s">
        <v>129</v>
      </c>
      <c r="AF68" s="15">
        <v>240.0</v>
      </c>
      <c r="AG68" s="3" t="s">
        <v>67</v>
      </c>
      <c r="AH68" s="3" t="s">
        <v>61</v>
      </c>
      <c r="AI68" s="23">
        <v>46057.0</v>
      </c>
      <c r="AJ68" s="17" t="s">
        <v>62</v>
      </c>
      <c r="AK68" s="16">
        <v>0.8354166666666667</v>
      </c>
      <c r="AL68" s="15">
        <v>5143.0</v>
      </c>
      <c r="AM68" s="15">
        <v>95.0</v>
      </c>
      <c r="AN68" s="15">
        <v>1038.0</v>
      </c>
      <c r="AO68" s="15">
        <f t="shared" si="84"/>
        <v>81</v>
      </c>
      <c r="AP68" s="15">
        <v>851.0</v>
      </c>
      <c r="AQ68" s="17">
        <v>13.0</v>
      </c>
      <c r="AR68" s="15">
        <v>0.0</v>
      </c>
      <c r="AS68" s="17">
        <v>315.0</v>
      </c>
      <c r="AT68" s="17">
        <v>6.0</v>
      </c>
      <c r="AU68" s="17">
        <v>16.0</v>
      </c>
      <c r="AV68" s="17">
        <v>0.0</v>
      </c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</row>
    <row r="69" ht="22.5" customHeight="1">
      <c r="A69" s="9" t="s">
        <v>154</v>
      </c>
      <c r="B69" s="9" t="s">
        <v>67</v>
      </c>
      <c r="C69" s="9" t="s">
        <v>155</v>
      </c>
      <c r="D69" s="9" t="s">
        <v>75</v>
      </c>
      <c r="E69" s="19" t="s">
        <v>52</v>
      </c>
      <c r="F69" s="19">
        <v>46.0</v>
      </c>
      <c r="G69" s="19">
        <v>118.0</v>
      </c>
      <c r="H69" s="24">
        <v>46056.0</v>
      </c>
      <c r="I69" s="20">
        <v>0.8104166666666667</v>
      </c>
      <c r="J69" s="19">
        <v>1296.0</v>
      </c>
      <c r="K69" s="19">
        <v>12897.0</v>
      </c>
      <c r="L69" s="21">
        <v>16.0</v>
      </c>
      <c r="M69" s="21" t="s">
        <v>135</v>
      </c>
      <c r="N69" s="21">
        <v>18.0</v>
      </c>
      <c r="O69" s="19">
        <f t="shared" si="2"/>
        <v>18</v>
      </c>
      <c r="P69" s="21">
        <v>629.0</v>
      </c>
      <c r="Q69" s="9" t="s">
        <v>69</v>
      </c>
      <c r="R69" s="13" t="s">
        <v>70</v>
      </c>
      <c r="S69" s="21" t="s">
        <v>71</v>
      </c>
      <c r="T69" s="22">
        <v>7.0</v>
      </c>
      <c r="U69" s="19">
        <v>10.0</v>
      </c>
      <c r="V69" s="22">
        <v>7.0</v>
      </c>
      <c r="W69" s="19">
        <v>7.0</v>
      </c>
      <c r="X69" s="22">
        <v>9.0</v>
      </c>
      <c r="Y69" s="19">
        <v>9.0</v>
      </c>
      <c r="Z69" s="13">
        <f t="shared" ref="Z69:AA69" si="86">ROUND(0.4*T69 + 0.35*V69 + 0.25*X69, 2)</f>
        <v>7.5</v>
      </c>
      <c r="AA69" s="13">
        <f t="shared" si="86"/>
        <v>8.7</v>
      </c>
      <c r="AB69" s="21" t="s">
        <v>57</v>
      </c>
      <c r="AC69" s="21" t="s">
        <v>128</v>
      </c>
      <c r="AD69" s="19">
        <v>146.0</v>
      </c>
      <c r="AE69" s="9" t="s">
        <v>129</v>
      </c>
      <c r="AF69" s="19">
        <v>240.0</v>
      </c>
      <c r="AG69" s="9" t="s">
        <v>67</v>
      </c>
      <c r="AH69" s="9" t="s">
        <v>61</v>
      </c>
      <c r="AI69" s="24">
        <v>46057.0</v>
      </c>
      <c r="AJ69" s="21" t="s">
        <v>62</v>
      </c>
      <c r="AK69" s="20">
        <v>0.8354166666666667</v>
      </c>
      <c r="AL69" s="19">
        <v>5143.0</v>
      </c>
      <c r="AM69" s="19">
        <v>95.0</v>
      </c>
      <c r="AN69" s="19">
        <v>1038.0</v>
      </c>
      <c r="AO69" s="19">
        <f t="shared" si="84"/>
        <v>81</v>
      </c>
      <c r="AP69" s="19">
        <v>851.0</v>
      </c>
      <c r="AQ69" s="21">
        <v>13.0</v>
      </c>
      <c r="AR69" s="19">
        <v>0.0</v>
      </c>
      <c r="AS69" s="21">
        <v>315.0</v>
      </c>
      <c r="AT69" s="21">
        <v>6.0</v>
      </c>
      <c r="AU69" s="21">
        <v>16.0</v>
      </c>
      <c r="AV69" s="21">
        <v>0.0</v>
      </c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V$69"/>
  <dataValidations>
    <dataValidation type="custom" allowBlank="1" showDropDown="1" sqref="H2:H69 AI2:AI69">
      <formula1>OR(NOT(ISERROR(DATEVALUE(H2))), AND(ISNUMBER(H2), LEFT(CELL("format", H2))="D"))</formula1>
    </dataValidation>
    <dataValidation type="custom" allowBlank="1" showDropDown="1" sqref="F2:G69 J2:K69 O2:P69 T2:AA69 AD2:AD69 AF2:AF69 AL2:AV69">
      <formula1>AND(ISNUMBER(F2),(NOT(OR(NOT(ISERROR(DATEVALUE(F2))), AND(ISNUMBER(F2), LEFT(CELL("format", F2))="D")))))</formula1>
    </dataValidation>
    <dataValidation type="custom" allowBlank="1" showDropDown="1" sqref="I2:I69 AK2:AK69">
      <formula1>OR(TIMEVALUE(TEXT(I2, "hh:mm:ss"))=I2, AND(ISNUMBER(I2), LEFT(CELL("format", I2))="D"))</formula1>
    </dataValidation>
  </dataValidations>
  <drawing r:id="rId1"/>
</worksheet>
</file>